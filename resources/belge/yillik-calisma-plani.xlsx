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zde\Desktop\"/>
    </mc:Choice>
  </mc:AlternateContent>
  <xr:revisionPtr revIDLastSave="0" documentId="8_{2E05D63A-3A1F-41B2-AD84-5040195BDA4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Yıllık Çalışma Planı" sheetId="1" r:id="rId1"/>
    <sheet name="Aylık Özet" sheetId="2" r:id="rId2"/>
    <sheet name="Listeler" sheetId="3" r:id="rId3"/>
  </sheets>
  <definedNames>
    <definedName name="_xlnm.Print_Area" localSheetId="0">'Yıllık Çalışma Planı'!$A$1:$AE$46</definedName>
    <definedName name="_xlnm.Print_Titles" localSheetId="1">'Aylık Özet'!$1:$3</definedName>
    <definedName name="_xlnm.Print_Titles" localSheetId="0">'Yıllık Çalışma Planı'!$1:$7,'Yıllık Çalışma Planı'!$A:$F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5" i="2" l="1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M22" i="2"/>
  <c r="L22" i="2"/>
  <c r="K22" i="2"/>
  <c r="J22" i="2"/>
  <c r="I22" i="2"/>
  <c r="H22" i="2"/>
  <c r="G22" i="2"/>
  <c r="F22" i="2"/>
  <c r="E22" i="2"/>
  <c r="D22" i="2"/>
  <c r="C22" i="2"/>
  <c r="B22" i="2"/>
  <c r="M21" i="2"/>
  <c r="L21" i="2"/>
  <c r="K21" i="2"/>
  <c r="J21" i="2"/>
  <c r="I21" i="2"/>
  <c r="H21" i="2"/>
  <c r="G21" i="2"/>
  <c r="F21" i="2"/>
  <c r="E21" i="2"/>
  <c r="D21" i="2"/>
  <c r="C21" i="2"/>
  <c r="B21" i="2"/>
  <c r="M20" i="2"/>
  <c r="L20" i="2"/>
  <c r="K20" i="2"/>
  <c r="J20" i="2"/>
  <c r="I20" i="2"/>
  <c r="H20" i="2"/>
  <c r="G20" i="2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M18" i="2"/>
  <c r="L18" i="2"/>
  <c r="K18" i="2"/>
  <c r="J18" i="2"/>
  <c r="I18" i="2"/>
  <c r="H18" i="2"/>
  <c r="G18" i="2"/>
  <c r="F18" i="2"/>
  <c r="E18" i="2"/>
  <c r="D18" i="2"/>
  <c r="C18" i="2"/>
  <c r="B18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M26" i="2" s="1"/>
  <c r="L4" i="2"/>
  <c r="L26" i="2" s="1"/>
  <c r="K4" i="2"/>
  <c r="K26" i="2" s="1"/>
  <c r="J4" i="2"/>
  <c r="J26" i="2" s="1"/>
  <c r="I4" i="2"/>
  <c r="H4" i="2"/>
  <c r="H26" i="2" s="1"/>
  <c r="G4" i="2"/>
  <c r="G26" i="2" s="1"/>
  <c r="F4" i="2"/>
  <c r="E4" i="2"/>
  <c r="D4" i="2"/>
  <c r="C4" i="2"/>
  <c r="B4" i="2"/>
  <c r="F26" i="2" l="1"/>
  <c r="N21" i="2"/>
  <c r="D26" i="2"/>
  <c r="N4" i="2"/>
  <c r="N5" i="2"/>
  <c r="N6" i="2"/>
  <c r="N7" i="2"/>
  <c r="N10" i="2"/>
  <c r="N13" i="2"/>
  <c r="N14" i="2"/>
  <c r="N15" i="2"/>
  <c r="N16" i="2"/>
  <c r="N17" i="2"/>
  <c r="N20" i="2"/>
  <c r="N23" i="2"/>
  <c r="N24" i="2"/>
  <c r="N9" i="2"/>
  <c r="N18" i="2"/>
  <c r="N22" i="2"/>
  <c r="N11" i="2"/>
  <c r="N12" i="2"/>
  <c r="C26" i="2"/>
  <c r="N8" i="2"/>
  <c r="N25" i="2"/>
  <c r="N19" i="2"/>
  <c r="E26" i="2"/>
  <c r="I26" i="2"/>
  <c r="B26" i="2"/>
  <c r="N26" i="2" l="1"/>
</calcChain>
</file>

<file path=xl/sharedStrings.xml><?xml version="1.0" encoding="utf-8"?>
<sst xmlns="http://schemas.openxmlformats.org/spreadsheetml/2006/main" count="432" uniqueCount="204">
  <si>
    <t>Firma / İşyeri Adı</t>
  </si>
  <si>
    <t>Doküman No</t>
  </si>
  <si>
    <t>İSG-PL-01</t>
  </si>
  <si>
    <t>Adres</t>
  </si>
  <si>
    <t>Yayın Tarihi</t>
  </si>
  <si>
    <t>SGK Sicil No</t>
  </si>
  <si>
    <t>Revizyon No</t>
  </si>
  <si>
    <t>00</t>
  </si>
  <si>
    <t>Çalışma Yılı</t>
  </si>
  <si>
    <t>Revizyon Tarihi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</si>
  <si>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</si>
  <si>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</si>
  <si>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</si>
  <si>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</si>
  <si>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</si>
  <si>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</si>
  <si>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</si>
  <si>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</si>
  <si>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</si>
  <si>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</si>
  <si>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</si>
  <si>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</si>
  <si>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No</t>
  </si>
  <si>
    <t>Ana Konu</t>
  </si>
  <si>
    <t>Planlanan Faaliyet</t>
  </si>
  <si>
    <t>Periyot</t>
  </si>
  <si>
    <t>Sorumlu</t>
  </si>
  <si>
    <t>P</t>
  </si>
  <si>
    <t>G</t>
  </si>
  <si>
    <t>Mevzuat Dayanağı / Kayıt-Kanıt / Açıklama</t>
  </si>
  <si>
    <t>Durum</t>
  </si>
  <si>
    <t>PLANLAMA VE DOKÜMANTASYON</t>
  </si>
  <si>
    <t>Yıllık çalışma planının hazırlanması / gözden geçirilmesi</t>
  </si>
  <si>
    <t>Yılda 1</t>
  </si>
  <si>
    <t>İşveren / İGU / İşyeri Hekimi</t>
  </si>
  <si>
    <t>6331 sayılı İSG Kanunu; İş Sağlığı ve Güvenliği Hizmetleri Yönetmeliği; İş Güvenliği Uzmanları Yönetmeliği; İşyeri Hekimi Yönetmeliği
Kayıt/Not: İSG yönetim sistemi</t>
  </si>
  <si>
    <t>Planlandı</t>
  </si>
  <si>
    <t>Yıllık eğitim planının hazırlanması / gözden geçirilmesi</t>
  </si>
  <si>
    <t>Çalışanların İş Sağlığı ve Güvenliği Eğitimlerinin Usul ve Esasları Hakkında Yönetmelik; İşyeri Hekimi Yönetmeliği
Kayıt/Not: Eğitim planlaması</t>
  </si>
  <si>
    <t>Yıllık değerlendirme raporunun hazırlanması</t>
  </si>
  <si>
    <t>İş Sağlığı ve Güvenliği Hizmetleri Yönetmeliği; İşyeri Hekimi Yönetmeliği
Kayıt/Not: Yıl sonu değerlendirme</t>
  </si>
  <si>
    <t>RİSK YÖNETİMİ</t>
  </si>
  <si>
    <t>Risk değerlendirmesinin gözden geçirilmesi; değişiklik, kaza veya ihtiyaç halinde revizyon</t>
  </si>
  <si>
    <t>Sürekli / Gerektiğinde</t>
  </si>
  <si>
    <t>İşveren / İGU / İşyeri Hekimi / RD Ekibi</t>
  </si>
  <si>
    <t>6331 sayılı İSG Kanunu md.10; İş Sağlığı ve Güvenliği Risk Değerlendirmesi Yönetmeliği
Kayıt/Not: Risk değerlendirmesi</t>
  </si>
  <si>
    <t>Saha gözetimi, tespit ve önerilerin kayıt altına alınması</t>
  </si>
  <si>
    <t>Aylık / Sürekli</t>
  </si>
  <si>
    <t>İGU / İşyeri Hekimi / Bölüm Sorumluları</t>
  </si>
  <si>
    <t>6331 sayılı İSG Kanunu; İş Güvenliği Uzmanlarının Görev, Yetki, Sorumluluk ve Eğitimleri Hakkında Yönetmelik
Kayıt/Not: Saha gözetimi</t>
  </si>
  <si>
    <t>Tespit edilen uygunsuzluklar için DÖF açılması ve kapanış takibi</t>
  </si>
  <si>
    <t>Sürekli</t>
  </si>
  <si>
    <t>İGU / İşveren / Bölüm Sorumluları</t>
  </si>
  <si>
    <t>6331 sayılı İSG Kanunu; Risk Değerlendirmesi Yönetmeliği
Kayıt/Not: DÖF takibi</t>
  </si>
  <si>
    <t>EĞİTİM</t>
  </si>
  <si>
    <t>Yeni başlayan ve eğitimi yenilenecek çalışanların temel İSG eğitimlerinin planlanması</t>
  </si>
  <si>
    <t>Gerektiğinde</t>
  </si>
  <si>
    <t>İGU / İşyeri Hekimi / Yetkili Eğitici</t>
  </si>
  <si>
    <t>İSG eğitimleri</t>
  </si>
  <si>
    <t>İşe ve riske özgü toolbox / kısa saha eğitimleri</t>
  </si>
  <si>
    <t>Aylık</t>
  </si>
  <si>
    <t>İGU / Bölüm Sorumluları</t>
  </si>
  <si>
    <t>6331 sayılı İSG Kanunu md.17; Çalışanların İSG Eğitimleri Yönetmeliği
Kayıt/Not: Saha eğitimi</t>
  </si>
  <si>
    <t>ACİL DURUM</t>
  </si>
  <si>
    <t>Acil durum planının gözden geçirilmesi ve gerektiğinde güncellenmesi</t>
  </si>
  <si>
    <t>Yılda 1 / Gerektiğinde</t>
  </si>
  <si>
    <t>İşyerlerinde Acil Durumlar Hakkında Yönetmelik
Kayıt/Not: Acil durum</t>
  </si>
  <si>
    <t>Acil durum ekipleri ve görevlendirmelerin kontrolü / güncellenmesi</t>
  </si>
  <si>
    <t>Yılda 1 / Değişiklikte</t>
  </si>
  <si>
    <t>İşyerlerinde Acil Durumlar Hakkında Yönetmelik
Kayıt/Not: Görevlendirme</t>
  </si>
  <si>
    <t>Yangın, tahliye ve kurtarma tatbikatının planlanması ve uygulanması</t>
  </si>
  <si>
    <t>Yılda en az 1</t>
  </si>
  <si>
    <t>İşveren / İGU / Acil Durum Ekipleri</t>
  </si>
  <si>
    <t>İşyerlerinde Acil Durumlar Hakkında Yönetmelik
Kayıt/Not: Tatbikat</t>
  </si>
  <si>
    <t>Acil çıkış yolları, kapıları, yönlendirme levhaları ve acil aydınlatmanın kontrolü</t>
  </si>
  <si>
    <t>İşveren / İGU / Teknik Birim</t>
  </si>
  <si>
    <t>İşyeri Bina ve Eklentilerinde Alınacak Sağlık ve Güvenlik Önlemlerine İlişkin Yönetmelik; Binaların Yangından Korunması Hakkında Yönetmelik
Kayıt/Not: Acil çıkış</t>
  </si>
  <si>
    <t>YANGIN GÜVENLİĞİ</t>
  </si>
  <si>
    <t>Yangın söndürücüler, hortumlar, hidrant/sprinkler ve yangın ekipmanlarının kontrol takibi</t>
  </si>
  <si>
    <t>Periyodik / Üretici ve mevzuata göre</t>
  </si>
  <si>
    <t>İşveren / Teknik Birim / Yetkili Firma</t>
  </si>
  <si>
    <t>Binaların Yangından Korunması Hakkında Yönetmelik; İşyerlerinde Acil Durumlar Hakkında Yönetmelik
Kayıt/Not: Yangın ekipmanı</t>
  </si>
  <si>
    <t>Yangın algılama, ihbar, duman/ısı sensörü ve alarm sistemlerinin test/kontrol takibi</t>
  </si>
  <si>
    <t>Periyodik</t>
  </si>
  <si>
    <t>Binaların Yangından Korunması Hakkında Yönetmelik
Kayıt/Not: Yangın algılama</t>
  </si>
  <si>
    <t>İŞ EKİPMANLARI</t>
  </si>
  <si>
    <t>Kaldırma ve iletme ekipmanlarının periyodik kontrol takibi</t>
  </si>
  <si>
    <t>Mevzuat / ekipmana göre</t>
  </si>
  <si>
    <t>İşveren / Teknik Birim / Yetkili Kişi</t>
  </si>
  <si>
    <t>İş Ekipmanlarının Kullanımında Sağlık ve Güvenlik Şartları Yönetmeliği
Kayıt/Not: Vinç, forklift, transpalet vb.</t>
  </si>
  <si>
    <t>Basınçlı kap ve tesisatların periyodik kontrol takibi</t>
  </si>
  <si>
    <t>İş Ekipmanlarının Kullanımında Sağlık ve Güvenlik Şartları Yönetmeliği
Kayıt/Not: Kompresör, kazan, hidrofor vb.</t>
  </si>
  <si>
    <t>ELEKTRİK</t>
  </si>
  <si>
    <t>Elektrik tesisatı, panolar, prizler, kablolar ve kaçak akım koruma düzenlerinin saha kontrolü</t>
  </si>
  <si>
    <t>3 Aylık / Gerektiğinde</t>
  </si>
  <si>
    <t>İşveren / Teknik Birim / İGU</t>
  </si>
  <si>
    <t>İş Ekipmanlarının Kullanımında Sağlık ve Güvenlik Şartları Yönetmeliği; Elektrik Tesislerinde Topraklamalar Yönetmeliği
Kayıt/Not: Elektrik güvenliği</t>
  </si>
  <si>
    <t>Elektrik tesisatı, topraklama ve yıldırımdan korunma tesisatı periyodik kontrol takibi</t>
  </si>
  <si>
    <t>Mevzuata göre</t>
  </si>
  <si>
    <t>İşveren / Yetkili Kişi</t>
  </si>
  <si>
    <t>İş Ekipmanlarının Kullanımında Sağlık ve Güvenlik Şartları Yönetmeliği; Elektrik Tesislerinde Topraklamalar Yönetmeliği
Kayıt/Not: Periyodik kontrol</t>
  </si>
  <si>
    <t>MAKİNE GÜVENLİĞİ</t>
  </si>
  <si>
    <t>Makine koruyucuları, acil stoplar, switchler, kullanım talimatları ve güvenli kullanım kontrolleri</t>
  </si>
  <si>
    <t>İGU / Teknik Birim / Bölüm Sorumluları</t>
  </si>
  <si>
    <t>İş Ekipmanlarının Kullanımında Sağlık ve Güvenlik Şartları Yönetmeliği
Kayıt/Not: Makine güvenliği</t>
  </si>
  <si>
    <t>KKD</t>
  </si>
  <si>
    <t>KKD ihtiyaçlarının belirlenmesi, uygun KKD temini ve zimmetle teslimi</t>
  </si>
  <si>
    <t>İşveren / İGU / Bölüm Sorumluları</t>
  </si>
  <si>
    <t>Kişisel Koruyucu Donanımların İşyerlerinde Kullanılması Hakkında Yönetmelik
Kayıt/Not: KKD</t>
  </si>
  <si>
    <t>KKD kullanımının saha denetimi</t>
  </si>
  <si>
    <t>Kişisel Koruyucu Donanımların İşyerlerinde Kullanılması Hakkında Yönetmelik
Kayıt/Not: KKD denetimi</t>
  </si>
  <si>
    <t>İŞYERİ DÜZENİ</t>
  </si>
  <si>
    <t>Sağlık ve güvenlik işaretleri, korkuluklar, tehlikeli boşluklar, yaya yolları ve genel tertip-düzen kontrolü</t>
  </si>
  <si>
    <t>Sağlık ve Güvenlik İşaretleri Yönetmeliği; İşyeri Bina ve Eklentileri Yönetmeliği
Kayıt/Not: İşyeri düzeni</t>
  </si>
  <si>
    <t>KİMYASAL</t>
  </si>
  <si>
    <t>Kimyasal envanter, etiketler ve Güvenlik Bilgi Formlarının kontrolü</t>
  </si>
  <si>
    <t>6 Aylık / Değişiklikte</t>
  </si>
  <si>
    <t>Kimyasal Maddelerle Çalışmalarda Sağlık ve Güvenlik Önlemleri Hakkında Yönetmelik
Kayıt/Not: Kimyasal güvenlik</t>
  </si>
  <si>
    <t>PATLAYICI ORTAM</t>
  </si>
  <si>
    <t>Patlamadan korunma dokümanı ve patlayıcı ortam risklerinin gözden geçirilmesi (uygulanıyorsa)</t>
  </si>
  <si>
    <t>Değişiklikte / Gerektiğinde</t>
  </si>
  <si>
    <t>İşveren / İGU / Yetkili Uzman</t>
  </si>
  <si>
    <t>Çalışanların Patlayıcı Ortamların Tehlikelerinden Korunması Hakkında Yönetmelik
Kayıt/Not: ATEX</t>
  </si>
  <si>
    <t>ORTAM ÖLÇÜMLERİ</t>
  </si>
  <si>
    <t>Gürültü, toz, titreşim, aydınlatma, termal konfor, gaz/VOC vb. ölçüm ihtiyacının değerlendirilmesi ve ölçümlerin planlanması</t>
  </si>
  <si>
    <t>Risk değerlendirmesine göre</t>
  </si>
  <si>
    <t>İş Hijyeni Ölçüm, Test ve Analizleri Hakkında Yönetmelik; ilgili maruziyet yönetmelikleri
Kayıt/Not: İş hijyeni</t>
  </si>
  <si>
    <t>SAĞLIK GÖZETİMİ</t>
  </si>
  <si>
    <t>İşe giriş sağlık muayeneleri</t>
  </si>
  <si>
    <t>İşe girişte</t>
  </si>
  <si>
    <t>İşveren / İşyeri Hekimi</t>
  </si>
  <si>
    <t>Sağlık gözetimi</t>
  </si>
  <si>
    <t>Periyodik sağlık muayeneleri ve işe/risklere özgü tetkiklerin planlanması</t>
  </si>
  <si>
    <t>Risk ve mevzuata göre</t>
  </si>
  <si>
    <t>İşyeri Hekimi / İşveren</t>
  </si>
  <si>
    <t>6331 sayılı İSG Kanunu md.15; İşyeri Hekimi ve Diğer Sağlık Personeli Yönetmeliği
Kayıt/Not: Sağlık gözetimi</t>
  </si>
  <si>
    <t>İlk yardım dolapları ve sağlık ekipmanlarının kontrolü</t>
  </si>
  <si>
    <t>Aylık / Periyodik</t>
  </si>
  <si>
    <t>İşyeri Hekimi / Görevlendirilen Personel</t>
  </si>
  <si>
    <t>İlk yardım</t>
  </si>
  <si>
    <t>HİJYEN</t>
  </si>
  <si>
    <t>İçme-kullanma suyu, yemekhane, tuvalet, soyunma alanları ve genel hijyen kontrolleri</t>
  </si>
  <si>
    <t>İşyeri Hekimi / İşveren / İlgili Birim</t>
  </si>
  <si>
    <t>İşyeri Bina ve Eklentileri Yönetmeliği; İşyeri Hekimi ve Diğer Sağlık Personeli Yönetmeliği
Kayıt/Not: Hijyen</t>
  </si>
  <si>
    <t>KAZA / RAMAK KALA</t>
  </si>
  <si>
    <t>İş kazaları, ramak kala olayları ve ilk yardım vakalarının kayıt, inceleme ve kök neden takibi</t>
  </si>
  <si>
    <t>Olay oldukça</t>
  </si>
  <si>
    <t>İlkyardım Yönetmeliği; İşyeri Hekimi ve Diğer Sağlık Personeli Yönetmeliği
Kayıt/Not: Olay yönetimi</t>
  </si>
  <si>
    <t>ÇALIŞAN KATILIMI</t>
  </si>
  <si>
    <t>Çalışan temsilcisi ve destek elemanlarının görevlendirme/atamalarının kontrolü</t>
  </si>
  <si>
    <t>İşveren / İGU</t>
  </si>
  <si>
    <t>6331 sayılı İSG Kanunu md.20
Kayıt/Not: Görevlendirme</t>
  </si>
  <si>
    <t>İSG KURULU</t>
  </si>
  <si>
    <t>İSG Kurulu üyeliklerinin ve toplantı planının kontrolü; toplantıların mevzuat periyodunda yapılması (uygulanıyorsa)</t>
  </si>
  <si>
    <t>Mevzuat periyodunda</t>
  </si>
  <si>
    <t>İşveren / İGU / İşyeri Hekimi / Kurul</t>
  </si>
  <si>
    <t>İSG Kurulu</t>
  </si>
  <si>
    <t>ALT İŞVEREN</t>
  </si>
  <si>
    <t>Alt işveren / taşeron çalışmalarının İSG evrak, iş izinleri ve saha uygulamaları yönünden kontrolü</t>
  </si>
  <si>
    <t>Her çalışma öncesi / Sürekli</t>
  </si>
  <si>
    <t>İşveren / İGU / Saha Sorumluları</t>
  </si>
  <si>
    <t>6331 sayılı İSG Kanunu; İş Sağlığı ve Güvenliği Hizmetleri Yönetmeliği
Kayıt/Not: İş izinleri</t>
  </si>
  <si>
    <t>BELGELER</t>
  </si>
  <si>
    <t>Operatörlük, mesleki eğitim, ustalık ve diğer zorunlu yeterlilik belgelerinin kontrolü</t>
  </si>
  <si>
    <t>İşe girişte / Sürekli</t>
  </si>
  <si>
    <t>İşveren / İGU / İK</t>
  </si>
  <si>
    <t>6331 sayılı İSG Kanunu; Mesleki Eğitim Yönetmeliği; İş Ekipmanları Yönetmeliği
Kayıt/Not: Yetkinlik</t>
  </si>
  <si>
    <t>ARAÇ GÜVENLİĞİ</t>
  </si>
  <si>
    <t>Şirket araçları, iş makineleri ve taşıma araçlarının bakım, kontrol ve sürücü yetkinliklerinin takibi</t>
  </si>
  <si>
    <t>İşveren / Filo-Teknik Birim / İGU</t>
  </si>
  <si>
    <t>6331 sayılı İSG Kanunu; İş Ekipmanlarının Kullanımında Sağlık ve Güvenlik Şartları Yönetmeliği
Kayıt/Not: Araç güvenliği</t>
  </si>
  <si>
    <t>ERGONOMİ</t>
  </si>
  <si>
    <t>Elle taşıma, ergonomi ve ekranlı araçlarla çalışma koşullarının gözden geçirilmesi</t>
  </si>
  <si>
    <t>Elle Taşıma İşleri Yönetmeliği; Ekranlı Araçlarla Çalışmalarda Sağlık ve Güvenlik Önlemleri Hakkında Yönetmelik
Kayıt/Not: Ergonomi</t>
  </si>
  <si>
    <t>İŞVEREN / İŞVEREN VEKİLİ
Ad Soyad – Kaşe / İmza</t>
  </si>
  <si>
    <t>İŞ GÜVENLİĞİ UZMANI
Ad Soyad – Kaşe / İmza</t>
  </si>
  <si>
    <t>İŞYERİ HEKİMİ
Ad Soyad – Kaşe / İmza</t>
  </si>
  <si>
    <t>2027 İSG YILLIK ÇALIŞMA PLANI – AYLIK ÖZET</t>
  </si>
  <si>
    <t>Toplam</t>
  </si>
  <si>
    <t>GENEL TOPLAM</t>
  </si>
  <si>
    <t>Kullanım Notu</t>
  </si>
  <si>
    <t>Açıklama</t>
  </si>
  <si>
    <t>Planlanan ay</t>
  </si>
  <si>
    <t>Planlandı / Devam Ediyor / Tamamlandı / Ertelendi / İptal</t>
  </si>
  <si>
    <t>Aylık seçim</t>
  </si>
  <si>
    <t>Ana plandaki G:R sütunlarında P işaretlerini istediğiniz aylara taşıyabilir, silebilir veya ekleyebilirsiniz.</t>
  </si>
  <si>
    <t>İşyerinin tehlike sınıfı, ekipman üretici şartları, risk değerlendirmesi ve güncel mevzuata göre teyit edilmelidir.</t>
  </si>
  <si>
    <t>Kaynak 1</t>
  </si>
  <si>
    <t>YILLIK ÇALIŞMA PLANI.xlsx</t>
  </si>
  <si>
    <t>Kaynak 2</t>
  </si>
  <si>
    <t>2025 ÇALIŞMA PLANI reform.xlsx</t>
  </si>
  <si>
    <t>Kaynak 3</t>
  </si>
  <si>
    <t>Yıllık Çalışma Planı.xlsx ve yıllık çalışma planı.pdf</t>
  </si>
  <si>
    <t>Baskı Düzeni</t>
  </si>
  <si>
    <t>Yıllık Çalışma Planı sayfasında 1:7 satırlar ve A:G sütunları her basılı sayfada tekrar eder. Her basılı sayfanın alt bilgisinde İşveren/İşveren Vekili, İş Güvenliği Uzmanı ve İşyeri Hekimi imza alanları bulunur.</t>
  </si>
  <si>
    <t>Mevzuat</t>
  </si>
  <si>
    <t>Faaliyetlerin mevzuat dayanakları planın S sütununa işlendi. Periyotlar işyerine özgü risk, ekipman, üretici şartları ve güncel mevzuata göre ayrıca teyit edilmelidir.</t>
  </si>
  <si>
    <t>P / G Takibi</t>
  </si>
  <si>
    <t>Her ay iki alt sütuna ayrılmıştır: P = Planlanan, G = Gerçekleşen. Planlanan aylar P ile işaretlidir. Faaliyet tamamlandığında ilgili ayın G hücresinden G seçilir.</t>
  </si>
  <si>
    <t xml:space="preserve">
</t>
  </si>
  <si>
    <t>VİZYON TESİSAT İNŞAAT HAFRİYAT NAKLİYAT ÇELİK KONSTRÜKSİYON ENERJİ SANAYİ VE TİCARET LİMİTED ŞİRKETİ</t>
  </si>
  <si>
    <t>İŞ SAĞLIĞI VE GÜVENLİĞİ YILLIK ÇALIŞMA PLANI – 2026</t>
  </si>
  <si>
    <t>ŞAPÇI MAH. ŞAPÇI BURSA MUSTAFAKEMALPAŞ NO:1/133</t>
  </si>
  <si>
    <t>Hazırlanma Tarihi:11.09.2026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</si>
</sst>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1"/>
      <name val="Calibri"/>
      <charset val="1"/>
    </font>
    <font>
      <b/>
      <sz val="9"/>
      <color rgb="FF7F7F7F"/>
      <name val="Arial"/>
      <charset val="1"/>
    </font>
    <font>
      <b/>
      <sz val="16"/>
      <color rgb="FFFFFFFF"/>
      <name val="Arial"/>
      <charset val="1"/>
    </font>
    <font>
      <b/>
      <sz val="11"/>
      <name val="Calibri"/>
      <charset val="1"/>
    </font>
    <font>
      <b/>
      <sz val="8"/>
      <color rgb="FFFFFFFF"/>
      <name val="Arial"/>
      <charset val="1"/>
    </font>
    <font>
      <b/>
      <sz val="11"/>
      <color rgb="FFFFFFFF"/>
      <name val="Calibri"/>
      <charset val="1"/>
    </font>
    <font>
      <sz val="6.2"/>
      <name val="Arial"/>
      <charset val="1"/>
    </font>
    <font>
      <sz val="7.5"/>
      <name val="Arial"/>
      <charset val="1"/>
    </font>
    <font>
      <sz val="8"/>
      <name val="Arial"/>
      <charset val="1"/>
    </font>
    <font>
      <b/>
      <sz val="6.2"/>
      <name val="Arial"/>
      <charset val="1"/>
    </font>
    <font>
      <b/>
      <sz val="15"/>
      <color rgb="FFFFFFFF"/>
      <name val="Calibri"/>
      <charset val="1"/>
    </font>
    <font>
      <b/>
      <sz val="11"/>
      <color rgb="FFFFFFFF"/>
      <name val="Arial"/>
      <charset val="1"/>
    </font>
    <font>
      <sz val="1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5B9BD5"/>
        <bgColor rgb="FF808080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dashed">
        <color rgb="FFA6A6A6"/>
      </left>
      <right style="dashed">
        <color rgb="FFA6A6A6"/>
      </right>
      <top style="dashed">
        <color rgb="FFA6A6A6"/>
      </top>
      <bottom style="dashed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dashed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4" fillId="4" borderId="0" xfId="1" applyFont="1" applyFill="1" applyBorder="1"/>
    <xf numFmtId="0" fontId="1" fillId="0" borderId="2" xfId="1" applyBorder="1"/>
    <xf numFmtId="0" fontId="6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center" vertical="top" wrapText="1"/>
    </xf>
    <xf numFmtId="0" fontId="7" fillId="4" borderId="2" xfId="1" applyFont="1" applyFill="1" applyBorder="1" applyAlignment="1">
      <alignment horizontal="center" vertical="center" wrapText="1"/>
    </xf>
    <xf numFmtId="0" fontId="6" fillId="5" borderId="0" xfId="1" applyFont="1" applyFill="1" applyBorder="1" applyAlignment="1">
      <alignment horizontal="center" wrapText="1"/>
    </xf>
    <xf numFmtId="0" fontId="1" fillId="0" borderId="0" xfId="1" applyFont="1" applyBorder="1" applyAlignment="1">
      <alignment wrapText="1"/>
    </xf>
    <xf numFmtId="0" fontId="1" fillId="0" borderId="0" xfId="1" applyBorder="1" applyAlignment="1">
      <alignment horizontal="center" wrapText="1"/>
    </xf>
    <xf numFmtId="0" fontId="12" fillId="5" borderId="0" xfId="1" applyFont="1" applyFill="1" applyBorder="1" applyAlignment="1">
      <alignment horizontal="left" vertical="center"/>
    </xf>
    <xf numFmtId="0" fontId="12" fillId="5" borderId="0" xfId="1" applyFont="1" applyFill="1" applyBorder="1" applyAlignment="1">
      <alignment horizontal="center" vertical="center"/>
    </xf>
    <xf numFmtId="0" fontId="6" fillId="5" borderId="0" xfId="1" applyFont="1" applyFill="1" applyBorder="1" applyAlignment="1">
      <alignment wrapText="1"/>
    </xf>
    <xf numFmtId="0" fontId="7" fillId="4" borderId="6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top" wrapText="1"/>
    </xf>
    <xf numFmtId="0" fontId="9" fillId="0" borderId="7" xfId="1" applyFont="1" applyBorder="1"/>
    <xf numFmtId="0" fontId="9" fillId="0" borderId="0" xfId="1" applyFont="1" applyBorder="1"/>
    <xf numFmtId="0" fontId="9" fillId="0" borderId="8" xfId="1" applyFont="1" applyBorder="1"/>
    <xf numFmtId="0" fontId="0" fillId="0" borderId="0" xfId="1" applyFont="1" applyBorder="1" applyAlignment="1">
      <alignment horizontal="center" wrapText="1"/>
    </xf>
    <xf numFmtId="0" fontId="9" fillId="0" borderId="5" xfId="1" applyFont="1" applyBorder="1"/>
    <xf numFmtId="0" fontId="9" fillId="0" borderId="7" xfId="1" applyFont="1" applyBorder="1" applyAlignment="1">
      <alignment horizontal="left"/>
    </xf>
    <xf numFmtId="0" fontId="9" fillId="7" borderId="0" xfId="1" applyFont="1" applyFill="1" applyBorder="1"/>
    <xf numFmtId="0" fontId="0" fillId="7" borderId="0" xfId="0" applyFill="1" applyBorder="1"/>
    <xf numFmtId="0" fontId="9" fillId="0" borderId="8" xfId="1" applyFont="1" applyBorder="1" applyAlignment="1">
      <alignment horizontal="left"/>
    </xf>
    <xf numFmtId="0" fontId="9" fillId="0" borderId="9" xfId="1" applyFont="1" applyBorder="1"/>
    <xf numFmtId="14" fontId="0" fillId="0" borderId="0" xfId="0" applyNumberFormat="1"/>
    <xf numFmtId="0" fontId="4" fillId="6" borderId="0" xfId="1" applyFont="1" applyFill="1" applyBorder="1"/>
    <xf numFmtId="0" fontId="10" fillId="6" borderId="0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left"/>
    </xf>
    <xf numFmtId="0" fontId="4" fillId="4" borderId="0" xfId="1" applyFont="1" applyFill="1" applyBorder="1" applyAlignment="1">
      <alignment horizontal="left"/>
    </xf>
    <xf numFmtId="0" fontId="4" fillId="4" borderId="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horizontal="center"/>
    </xf>
    <xf numFmtId="0" fontId="7" fillId="6" borderId="2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top" wrapText="1"/>
    </xf>
    <xf numFmtId="0" fontId="7" fillId="6" borderId="6" xfId="1" applyFont="1" applyFill="1" applyBorder="1" applyAlignment="1">
      <alignment horizontal="center" vertical="center" wrapText="1"/>
    </xf>
    <xf numFmtId="0" fontId="8" fillId="7" borderId="6" xfId="1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13" fillId="0" borderId="10" xfId="1" applyFont="1" applyBorder="1" applyAlignment="1">
      <alignment horizontal="right"/>
    </xf>
    <xf numFmtId="0" fontId="13" fillId="0" borderId="11" xfId="1" applyFont="1" applyBorder="1" applyAlignment="1">
      <alignment horizontal="right"/>
    </xf>
  </cellXfs>
  <cellStyles count="2">
    <cellStyle name="Normal" xfId="0" builtinId="0"/>
    <cellStyle name="Normal 2" xfId="1" xr:uid="{00000000-0005-0000-0000-000006000000}"/>
  </cellStyles>
  <dxfs count="19"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88901</xdr:colOff>
      <xdr:row>0</xdr:row>
      <xdr:rowOff>6350</xdr:rowOff>
    </xdr:from>
    <xdr:to>
      <xdr:col>1</xdr:col>
      <xdr:colOff>666751</xdr:colOff>
      <xdr:row>0</xdr:row>
      <xdr:rowOff>374651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F327286-729A-D44D-2521-21A2FB87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1" y="6350"/>
          <a:ext cx="857250" cy="368301"/>
        </a:xfrm>
        <a:prstGeom prst="rect">
          <a:avLst/>
        </a:prstGeom>
      </xdr:spPr>
    </xdr:pic>
    <xdr:clientData/>
  </xdr:twoCellAnchor>
  <xdr:twoCellAnchor editAs="oneCell">
    <xdr:from>
      <xdr:col>29</xdr:col>
      <xdr:colOff>609600</xdr:colOff>
      <xdr:row>0</xdr:row>
      <xdr:rowOff>0</xdr:rowOff>
    </xdr:from>
    <xdr:to>
      <xdr:col>30</xdr:col>
      <xdr:colOff>266700</xdr:colOff>
      <xdr:row>0</xdr:row>
      <xdr:rowOff>387350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7918A7C9-87D9-4CBB-921E-AA10D7AF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0" y="0"/>
          <a:ext cx="1517650" cy="387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GYillikPlanTablosu" displayName="ISGYillikPlanTablosu" ref="A7:S45" totalsRowShown="0">
  <tableColumns count="19">
    <tableColumn id="1" xr3:uid="{00000000-0010-0000-0000-000001000000}" name="No"/>
    <tableColumn id="2" xr3:uid="{00000000-0010-0000-0000-000002000000}" name="Ana Konu"/>
    <tableColumn id="3" xr3:uid="{00000000-0010-0000-0000-000003000000}" name="Planlanan Faaliyet"/>
    <tableColumn id="4" xr3:uid="{00000000-0010-0000-0000-000004000000}" name="Periyot"/>
    <tableColumn id="5" xr3:uid="{00000000-0010-0000-0000-000005000000}" name="Sorumlu"/>
    <tableColumn id="7" xr3:uid="{00000000-0010-0000-0000-000007000000}" name="P"/>
    <tableColumn id="8" xr3:uid="{00000000-0010-0000-0000-000008000000}" name="G"/>
    <tableColumn id="9" xr3:uid="{00000000-0010-0000-0000-000009000000}" name="P2"/>
    <tableColumn id="10" xr3:uid="{00000000-0010-0000-0000-00000A000000}" name="G2"/>
    <tableColumn id="11" xr3:uid="{00000000-0010-0000-0000-00000B000000}" name="P3"/>
    <tableColumn id="12" xr3:uid="{00000000-0010-0000-0000-00000C000000}" name="G3"/>
    <tableColumn id="13" xr3:uid="{00000000-0010-0000-0000-00000D000000}" name="P4"/>
    <tableColumn id="14" xr3:uid="{00000000-0010-0000-0000-00000E000000}" name="G4"/>
    <tableColumn id="15" xr3:uid="{00000000-0010-0000-0000-00000F000000}" name="P5"/>
    <tableColumn id="16" xr3:uid="{00000000-0010-0000-0000-000010000000}" name="G5"/>
    <tableColumn id="17" xr3:uid="{00000000-0010-0000-0000-000011000000}" name="P6"/>
    <tableColumn id="18" xr3:uid="{00000000-0010-0000-0000-000012000000}" name="G6"/>
    <tableColumn id="19" xr3:uid="{00000000-0010-0000-0000-000013000000}" name="P7"/>
    <tableColumn id="20" xr3:uid="{00000000-0010-0000-0000-000014000000}" name="G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6"/>
  <sheetViews>
    <sheetView showGridLines="0" tabSelected="1" zoomScaleNormal="100" workbookViewId="0">
      <pane ySplit="7" topLeftCell="A8" activePane="bottomLeft" state="frozen"/>
      <selection pane="bottomLeft" activeCell="AB18" sqref="AB18"/>
    </sheetView>
  </sheetViews>
  <sheetFormatPr defaultColWidth="8.6328125" defaultRowHeight="12.5" x14ac:dyDescent="0.25"/>
  <cols>
    <col min="1" max="1" width="4" customWidth="1"/>
    <col min="2" max="2" width="12.1796875" customWidth="1"/>
    <col min="3" max="3" width="20.453125" customWidth="1"/>
    <col min="4" max="4" width="14" customWidth="1"/>
    <col min="5" max="5" width="12.54296875" customWidth="1"/>
    <col min="6" max="15" width="2.7265625" customWidth="1"/>
    <col min="16" max="16" width="3.26953125" customWidth="1"/>
    <col min="17" max="17" width="3.7265625" customWidth="1"/>
    <col min="18" max="18" width="3.36328125" customWidth="1"/>
    <col min="19" max="19" width="3.453125" customWidth="1"/>
    <col min="20" max="20" width="3.54296875" customWidth="1"/>
    <col min="21" max="21" width="4.26953125" customWidth="1"/>
    <col min="22" max="29" width="2.7265625" customWidth="1"/>
    <col min="30" max="30" width="26.6328125" customWidth="1"/>
    <col min="31" max="31" width="10" customWidth="1"/>
  </cols>
  <sheetData>
    <row r="1" spans="1:31" ht="33.75" customHeight="1" x14ac:dyDescent="0.25">
      <c r="A1" s="32"/>
      <c r="B1" s="32"/>
      <c r="C1" s="33" t="s">
        <v>201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2" t="s">
        <v>199</v>
      </c>
      <c r="AE1" s="32"/>
    </row>
    <row r="2" spans="1:31" ht="14.5" x14ac:dyDescent="0.35">
      <c r="A2" s="29" t="s">
        <v>0</v>
      </c>
      <c r="B2" s="29"/>
      <c r="C2" s="40" t="s">
        <v>200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R2" s="27"/>
      <c r="AD2" s="1" t="s">
        <v>1</v>
      </c>
      <c r="AE2" t="s">
        <v>2</v>
      </c>
    </row>
    <row r="3" spans="1:31" ht="14.5" x14ac:dyDescent="0.35">
      <c r="A3" s="30" t="s">
        <v>3</v>
      </c>
      <c r="B3" s="30"/>
      <c r="C3" s="41" t="s">
        <v>202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1" t="s">
        <v>4</v>
      </c>
      <c r="AE3" s="26">
        <v>46276</v>
      </c>
    </row>
    <row r="4" spans="1:31" ht="14.5" x14ac:dyDescent="0.35">
      <c r="A4" s="30" t="s">
        <v>5</v>
      </c>
      <c r="B4" s="30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D4" s="1" t="s">
        <v>6</v>
      </c>
      <c r="AE4" t="s">
        <v>7</v>
      </c>
    </row>
    <row r="5" spans="1:31" ht="14.5" x14ac:dyDescent="0.35">
      <c r="A5" s="31" t="s">
        <v>8</v>
      </c>
      <c r="B5" s="31"/>
      <c r="C5" s="43">
        <v>2026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1" t="s">
        <v>9</v>
      </c>
    </row>
    <row r="6" spans="1:31" ht="12" customHeight="1" x14ac:dyDescent="0.35">
      <c r="A6" s="2"/>
      <c r="B6" s="2"/>
      <c r="C6" s="2"/>
      <c r="D6" s="2"/>
      <c r="E6" s="2"/>
      <c r="F6" s="34" t="s">
        <v>10</v>
      </c>
      <c r="G6" s="34"/>
      <c r="H6" s="34" t="s">
        <v>11</v>
      </c>
      <c r="I6" s="34"/>
      <c r="J6" s="34" t="s">
        <v>12</v>
      </c>
      <c r="K6" s="34"/>
      <c r="L6" s="34" t="s">
        <v>13</v>
      </c>
      <c r="M6" s="34"/>
      <c r="N6" s="34" t="s">
        <v>14</v>
      </c>
      <c r="O6" s="34"/>
      <c r="P6" s="34" t="s">
        <v>15</v>
      </c>
      <c r="Q6" s="34"/>
      <c r="R6" s="34" t="s">
        <v>16</v>
      </c>
      <c r="S6" s="34"/>
      <c r="T6" s="34" t="s">
        <v>17</v>
      </c>
      <c r="U6" s="34"/>
      <c r="V6" s="34" t="s">
        <v>18</v>
      </c>
      <c r="W6" s="34"/>
      <c r="X6" s="34" t="s">
        <v>19</v>
      </c>
      <c r="Y6" s="34"/>
      <c r="Z6" s="34" t="s">
        <v>20</v>
      </c>
      <c r="AA6" s="34"/>
      <c r="AB6" s="34" t="s">
        <v>21</v>
      </c>
      <c r="AC6" s="34"/>
      <c r="AD6" s="44" t="s">
        <v>203</v>
      </c>
      <c r="AE6" s="45"/>
    </row>
    <row r="7" spans="1:31" ht="26" customHeight="1" x14ac:dyDescent="0.25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4" t="s">
        <v>27</v>
      </c>
      <c r="G7" s="4" t="s">
        <v>28</v>
      </c>
      <c r="H7" s="4" t="s">
        <v>27</v>
      </c>
      <c r="I7" s="4" t="s">
        <v>28</v>
      </c>
      <c r="J7" s="4" t="s">
        <v>27</v>
      </c>
      <c r="K7" s="4" t="s">
        <v>28</v>
      </c>
      <c r="L7" s="4" t="s">
        <v>27</v>
      </c>
      <c r="M7" s="4" t="s">
        <v>28</v>
      </c>
      <c r="N7" s="4" t="s">
        <v>27</v>
      </c>
      <c r="O7" s="4" t="s">
        <v>28</v>
      </c>
      <c r="P7" s="4" t="s">
        <v>27</v>
      </c>
      <c r="Q7" s="4" t="s">
        <v>28</v>
      </c>
      <c r="R7" s="4" t="s">
        <v>27</v>
      </c>
      <c r="S7" s="4" t="s">
        <v>28</v>
      </c>
      <c r="T7" s="4" t="s">
        <v>27</v>
      </c>
      <c r="U7" s="4" t="s">
        <v>28</v>
      </c>
      <c r="V7" s="4" t="s">
        <v>27</v>
      </c>
      <c r="W7" s="4" t="s">
        <v>28</v>
      </c>
      <c r="X7" s="4" t="s">
        <v>27</v>
      </c>
      <c r="Y7" s="4" t="s">
        <v>28</v>
      </c>
      <c r="Z7" s="4" t="s">
        <v>27</v>
      </c>
      <c r="AA7" s="4" t="s">
        <v>28</v>
      </c>
      <c r="AB7" s="4" t="s">
        <v>27</v>
      </c>
      <c r="AC7" s="4" t="s">
        <v>28</v>
      </c>
      <c r="AD7" s="3" t="s">
        <v>29</v>
      </c>
      <c r="AE7" s="3" t="s">
        <v>30</v>
      </c>
    </row>
    <row r="8" spans="1:31" ht="36" customHeight="1" x14ac:dyDescent="0.25">
      <c r="A8" s="5">
        <v>1</v>
      </c>
      <c r="B8" s="5" t="s">
        <v>31</v>
      </c>
      <c r="C8" s="5" t="s">
        <v>32</v>
      </c>
      <c r="D8" s="5" t="s">
        <v>33</v>
      </c>
      <c r="E8" s="5" t="s">
        <v>34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 t="s">
        <v>27</v>
      </c>
      <c r="AC8" s="6"/>
      <c r="AD8" s="5" t="s">
        <v>35</v>
      </c>
      <c r="AE8" s="5" t="s">
        <v>36</v>
      </c>
    </row>
    <row r="9" spans="1:31" ht="36" customHeight="1" x14ac:dyDescent="0.25">
      <c r="A9" s="5">
        <v>2</v>
      </c>
      <c r="B9" s="5" t="s">
        <v>31</v>
      </c>
      <c r="C9" s="5" t="s">
        <v>37</v>
      </c>
      <c r="D9" s="5" t="s">
        <v>33</v>
      </c>
      <c r="E9" s="5" t="s">
        <v>34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 t="s">
        <v>27</v>
      </c>
      <c r="AC9" s="6"/>
      <c r="AD9" s="5" t="s">
        <v>38</v>
      </c>
      <c r="AE9" s="5" t="s">
        <v>36</v>
      </c>
    </row>
    <row r="10" spans="1:31" ht="27.75" customHeight="1" x14ac:dyDescent="0.25">
      <c r="A10" s="5">
        <v>3</v>
      </c>
      <c r="B10" s="5" t="s">
        <v>31</v>
      </c>
      <c r="C10" s="5" t="s">
        <v>39</v>
      </c>
      <c r="D10" s="5" t="s">
        <v>33</v>
      </c>
      <c r="E10" s="5" t="s">
        <v>34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 t="s">
        <v>27</v>
      </c>
      <c r="AC10" s="6"/>
      <c r="AD10" s="5" t="s">
        <v>40</v>
      </c>
      <c r="AE10" s="5" t="s">
        <v>36</v>
      </c>
    </row>
    <row r="11" spans="1:31" ht="27.75" customHeight="1" x14ac:dyDescent="0.25">
      <c r="A11" s="5">
        <v>4</v>
      </c>
      <c r="B11" s="5" t="s">
        <v>41</v>
      </c>
      <c r="C11" s="5" t="s">
        <v>42</v>
      </c>
      <c r="D11" s="5" t="s">
        <v>43</v>
      </c>
      <c r="E11" s="5" t="s">
        <v>44</v>
      </c>
      <c r="F11" s="36"/>
      <c r="G11" s="37"/>
      <c r="H11" s="36"/>
      <c r="I11" s="37"/>
      <c r="J11" s="36"/>
      <c r="K11" s="37"/>
      <c r="L11" s="36"/>
      <c r="M11" s="37"/>
      <c r="N11" s="36"/>
      <c r="O11" s="37"/>
      <c r="P11" s="36"/>
      <c r="Q11" s="37"/>
      <c r="R11" s="36"/>
      <c r="S11" s="37"/>
      <c r="T11" s="36"/>
      <c r="U11" s="6"/>
      <c r="V11" s="7" t="s">
        <v>27</v>
      </c>
      <c r="W11" s="6"/>
      <c r="X11" s="7" t="s">
        <v>27</v>
      </c>
      <c r="Y11" s="6"/>
      <c r="Z11" s="7" t="s">
        <v>27</v>
      </c>
      <c r="AA11" s="6"/>
      <c r="AB11" s="7" t="s">
        <v>27</v>
      </c>
      <c r="AC11" s="6"/>
      <c r="AD11" s="5" t="s">
        <v>45</v>
      </c>
      <c r="AE11" s="5" t="s">
        <v>36</v>
      </c>
    </row>
    <row r="12" spans="1:31" ht="32.5" customHeight="1" x14ac:dyDescent="0.25">
      <c r="A12" s="5">
        <v>5</v>
      </c>
      <c r="B12" s="5" t="s">
        <v>41</v>
      </c>
      <c r="C12" s="5" t="s">
        <v>46</v>
      </c>
      <c r="D12" s="5" t="s">
        <v>47</v>
      </c>
      <c r="E12" s="5" t="s">
        <v>48</v>
      </c>
      <c r="F12" s="36"/>
      <c r="G12" s="37"/>
      <c r="H12" s="36"/>
      <c r="I12" s="37"/>
      <c r="J12" s="36"/>
      <c r="K12" s="37"/>
      <c r="L12" s="36"/>
      <c r="M12" s="37"/>
      <c r="N12" s="36"/>
      <c r="O12" s="37"/>
      <c r="P12" s="36"/>
      <c r="Q12" s="37"/>
      <c r="R12" s="36"/>
      <c r="S12" s="37"/>
      <c r="T12" s="36"/>
      <c r="U12" s="6"/>
      <c r="V12" s="7" t="s">
        <v>27</v>
      </c>
      <c r="W12" s="6"/>
      <c r="X12" s="7" t="s">
        <v>27</v>
      </c>
      <c r="Y12" s="6"/>
      <c r="Z12" s="7" t="s">
        <v>27</v>
      </c>
      <c r="AA12" s="6"/>
      <c r="AB12" s="7" t="s">
        <v>27</v>
      </c>
      <c r="AC12" s="6"/>
      <c r="AD12" s="5" t="s">
        <v>49</v>
      </c>
      <c r="AE12" s="5" t="s">
        <v>36</v>
      </c>
    </row>
    <row r="13" spans="1:31" ht="27.75" customHeight="1" x14ac:dyDescent="0.25">
      <c r="A13" s="5">
        <v>6</v>
      </c>
      <c r="B13" s="5" t="s">
        <v>41</v>
      </c>
      <c r="C13" s="5" t="s">
        <v>50</v>
      </c>
      <c r="D13" s="5" t="s">
        <v>51</v>
      </c>
      <c r="E13" s="5" t="s">
        <v>52</v>
      </c>
      <c r="F13" s="36"/>
      <c r="G13" s="37"/>
      <c r="H13" s="36"/>
      <c r="I13" s="37"/>
      <c r="J13" s="36"/>
      <c r="K13" s="37"/>
      <c r="L13" s="36"/>
      <c r="M13" s="37"/>
      <c r="N13" s="36"/>
      <c r="O13" s="37"/>
      <c r="P13" s="36"/>
      <c r="Q13" s="37"/>
      <c r="R13" s="36"/>
      <c r="S13" s="37"/>
      <c r="T13" s="36"/>
      <c r="U13" s="6"/>
      <c r="V13" s="7" t="s">
        <v>27</v>
      </c>
      <c r="W13" s="6"/>
      <c r="X13" s="7" t="s">
        <v>27</v>
      </c>
      <c r="Y13" s="6"/>
      <c r="Z13" s="7" t="s">
        <v>27</v>
      </c>
      <c r="AA13" s="6"/>
      <c r="AB13" s="7" t="s">
        <v>27</v>
      </c>
      <c r="AC13" s="6"/>
      <c r="AD13" s="5" t="s">
        <v>53</v>
      </c>
      <c r="AE13" s="5" t="s">
        <v>36</v>
      </c>
    </row>
    <row r="14" spans="1:31" ht="27.75" customHeight="1" x14ac:dyDescent="0.25">
      <c r="A14" s="5">
        <v>7</v>
      </c>
      <c r="B14" s="5" t="s">
        <v>54</v>
      </c>
      <c r="C14" s="5" t="s">
        <v>55</v>
      </c>
      <c r="D14" s="5" t="s">
        <v>56</v>
      </c>
      <c r="E14" s="5" t="s">
        <v>57</v>
      </c>
      <c r="F14" s="3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 t="s">
        <v>27</v>
      </c>
      <c r="W14" s="6"/>
      <c r="X14" s="7" t="s">
        <v>27</v>
      </c>
      <c r="Y14" s="6"/>
      <c r="Z14" s="7" t="s">
        <v>27</v>
      </c>
      <c r="AA14" s="6"/>
      <c r="AB14" s="7" t="s">
        <v>27</v>
      </c>
      <c r="AC14" s="6"/>
      <c r="AD14" s="5" t="s">
        <v>58</v>
      </c>
      <c r="AE14" s="5" t="s">
        <v>36</v>
      </c>
    </row>
    <row r="15" spans="1:31" ht="27.75" customHeight="1" x14ac:dyDescent="0.25">
      <c r="A15" s="5">
        <v>8</v>
      </c>
      <c r="B15" s="5" t="s">
        <v>54</v>
      </c>
      <c r="C15" s="5" t="s">
        <v>59</v>
      </c>
      <c r="D15" s="5" t="s">
        <v>60</v>
      </c>
      <c r="E15" s="5" t="s">
        <v>61</v>
      </c>
      <c r="F15" s="36"/>
      <c r="G15" s="37"/>
      <c r="H15" s="36"/>
      <c r="I15" s="37"/>
      <c r="J15" s="36"/>
      <c r="K15" s="37"/>
      <c r="L15" s="36"/>
      <c r="M15" s="37"/>
      <c r="N15" s="36"/>
      <c r="O15" s="37"/>
      <c r="P15" s="36"/>
      <c r="Q15" s="37"/>
      <c r="R15" s="36"/>
      <c r="S15" s="37"/>
      <c r="T15" s="36"/>
      <c r="U15" s="6"/>
      <c r="V15" s="7" t="s">
        <v>27</v>
      </c>
      <c r="W15" s="6"/>
      <c r="X15" s="7" t="s">
        <v>27</v>
      </c>
      <c r="Y15" s="6"/>
      <c r="Z15" s="7" t="s">
        <v>27</v>
      </c>
      <c r="AA15" s="6"/>
      <c r="AB15" s="7" t="s">
        <v>27</v>
      </c>
      <c r="AC15" s="6"/>
      <c r="AD15" s="5" t="s">
        <v>62</v>
      </c>
      <c r="AE15" s="5" t="s">
        <v>36</v>
      </c>
    </row>
    <row r="16" spans="1:31" ht="27.75" customHeight="1" x14ac:dyDescent="0.25">
      <c r="A16" s="5">
        <v>9</v>
      </c>
      <c r="B16" s="5" t="s">
        <v>63</v>
      </c>
      <c r="C16" s="5" t="s">
        <v>64</v>
      </c>
      <c r="D16" s="5" t="s">
        <v>65</v>
      </c>
      <c r="E16" s="5" t="s">
        <v>34</v>
      </c>
      <c r="F16" s="3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 t="s">
        <v>27</v>
      </c>
      <c r="Y16" s="6"/>
      <c r="Z16" s="6"/>
      <c r="AA16" s="6"/>
      <c r="AB16" s="6"/>
      <c r="AC16" s="6"/>
      <c r="AD16" s="5" t="s">
        <v>66</v>
      </c>
      <c r="AE16" s="5" t="s">
        <v>36</v>
      </c>
    </row>
    <row r="17" spans="1:31" ht="27.75" customHeight="1" x14ac:dyDescent="0.25">
      <c r="A17" s="5">
        <v>10</v>
      </c>
      <c r="B17" s="5" t="s">
        <v>63</v>
      </c>
      <c r="C17" s="5" t="s">
        <v>67</v>
      </c>
      <c r="D17" s="5" t="s">
        <v>68</v>
      </c>
      <c r="E17" s="5" t="s">
        <v>34</v>
      </c>
      <c r="F17" s="3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 t="s">
        <v>27</v>
      </c>
      <c r="Y17" s="6"/>
      <c r="Z17" s="6"/>
      <c r="AA17" s="6"/>
      <c r="AB17" s="6"/>
      <c r="AC17" s="6"/>
      <c r="AD17" s="5" t="s">
        <v>69</v>
      </c>
      <c r="AE17" s="5" t="s">
        <v>36</v>
      </c>
    </row>
    <row r="18" spans="1:31" ht="27.75" customHeight="1" x14ac:dyDescent="0.25">
      <c r="A18" s="5">
        <v>11</v>
      </c>
      <c r="B18" s="5" t="s">
        <v>63</v>
      </c>
      <c r="C18" s="5" t="s">
        <v>70</v>
      </c>
      <c r="D18" s="5" t="s">
        <v>71</v>
      </c>
      <c r="E18" s="5" t="s">
        <v>72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 t="s">
        <v>27</v>
      </c>
      <c r="W18" s="6"/>
      <c r="X18" s="6"/>
      <c r="Y18" s="6"/>
      <c r="Z18" s="6"/>
      <c r="AA18" s="6"/>
      <c r="AB18" s="6"/>
      <c r="AC18" s="6"/>
      <c r="AD18" s="5" t="s">
        <v>73</v>
      </c>
      <c r="AE18" s="5" t="s">
        <v>36</v>
      </c>
    </row>
    <row r="19" spans="1:31" ht="35" customHeight="1" x14ac:dyDescent="0.25">
      <c r="A19" s="5">
        <v>12</v>
      </c>
      <c r="B19" s="5" t="s">
        <v>63</v>
      </c>
      <c r="C19" s="5" t="s">
        <v>74</v>
      </c>
      <c r="D19" s="5" t="s">
        <v>60</v>
      </c>
      <c r="E19" s="5" t="s">
        <v>75</v>
      </c>
      <c r="F19" s="36"/>
      <c r="G19" s="37"/>
      <c r="H19" s="36"/>
      <c r="I19" s="37"/>
      <c r="J19" s="36"/>
      <c r="K19" s="37"/>
      <c r="L19" s="36"/>
      <c r="M19" s="37"/>
      <c r="N19" s="36"/>
      <c r="O19" s="37"/>
      <c r="P19" s="36"/>
      <c r="Q19" s="37"/>
      <c r="R19" s="36"/>
      <c r="S19" s="37"/>
      <c r="T19" s="36"/>
      <c r="U19" s="6"/>
      <c r="V19" s="7" t="s">
        <v>27</v>
      </c>
      <c r="W19" s="6"/>
      <c r="X19" s="7" t="s">
        <v>27</v>
      </c>
      <c r="Y19" s="6"/>
      <c r="Z19" s="7" t="s">
        <v>27</v>
      </c>
      <c r="AA19" s="6"/>
      <c r="AB19" s="7" t="s">
        <v>27</v>
      </c>
      <c r="AC19" s="6"/>
      <c r="AD19" s="5" t="s">
        <v>76</v>
      </c>
      <c r="AE19" s="5" t="s">
        <v>36</v>
      </c>
    </row>
    <row r="20" spans="1:31" ht="35.5" customHeight="1" x14ac:dyDescent="0.25">
      <c r="A20" s="5">
        <v>13</v>
      </c>
      <c r="B20" s="5" t="s">
        <v>77</v>
      </c>
      <c r="C20" s="5" t="s">
        <v>78</v>
      </c>
      <c r="D20" s="5" t="s">
        <v>79</v>
      </c>
      <c r="E20" s="5" t="s">
        <v>80</v>
      </c>
      <c r="F20" s="3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 t="s">
        <v>27</v>
      </c>
      <c r="Y20" s="6"/>
      <c r="Z20" s="6"/>
      <c r="AA20" s="6"/>
      <c r="AB20" s="6"/>
      <c r="AC20" s="6"/>
      <c r="AD20" s="5" t="s">
        <v>81</v>
      </c>
      <c r="AE20" s="5" t="s">
        <v>36</v>
      </c>
    </row>
    <row r="21" spans="1:31" ht="27.75" customHeight="1" x14ac:dyDescent="0.25">
      <c r="A21" s="5">
        <v>14</v>
      </c>
      <c r="B21" s="5" t="s">
        <v>77</v>
      </c>
      <c r="C21" s="5" t="s">
        <v>82</v>
      </c>
      <c r="D21" s="5" t="s">
        <v>83</v>
      </c>
      <c r="E21" s="5" t="s">
        <v>80</v>
      </c>
      <c r="F21" s="3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" t="s">
        <v>27</v>
      </c>
      <c r="Y21" s="6"/>
      <c r="Z21" s="6"/>
      <c r="AA21" s="6"/>
      <c r="AB21" s="6"/>
      <c r="AC21" s="6"/>
      <c r="AD21" s="5" t="s">
        <v>84</v>
      </c>
      <c r="AE21" s="5" t="s">
        <v>36</v>
      </c>
    </row>
    <row r="22" spans="1:31" ht="27.75" customHeight="1" x14ac:dyDescent="0.25">
      <c r="A22" s="5">
        <v>15</v>
      </c>
      <c r="B22" s="5" t="s">
        <v>85</v>
      </c>
      <c r="C22" s="5" t="s">
        <v>86</v>
      </c>
      <c r="D22" s="5" t="s">
        <v>87</v>
      </c>
      <c r="E22" s="5" t="s">
        <v>88</v>
      </c>
      <c r="F22" s="3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 t="s">
        <v>27</v>
      </c>
      <c r="Y22" s="6"/>
      <c r="Z22" s="6"/>
      <c r="AA22" s="6"/>
      <c r="AB22" s="6"/>
      <c r="AC22" s="6"/>
      <c r="AD22" s="5" t="s">
        <v>89</v>
      </c>
      <c r="AE22" s="5" t="s">
        <v>36</v>
      </c>
    </row>
    <row r="23" spans="1:31" ht="27.75" customHeight="1" x14ac:dyDescent="0.25">
      <c r="A23" s="5">
        <v>16</v>
      </c>
      <c r="B23" s="5" t="s">
        <v>85</v>
      </c>
      <c r="C23" s="5" t="s">
        <v>90</v>
      </c>
      <c r="D23" s="5" t="s">
        <v>87</v>
      </c>
      <c r="E23" s="5" t="s">
        <v>88</v>
      </c>
      <c r="F23" s="3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" t="s">
        <v>27</v>
      </c>
      <c r="Y23" s="6"/>
      <c r="Z23" s="6"/>
      <c r="AA23" s="6"/>
      <c r="AB23" s="6"/>
      <c r="AC23" s="6"/>
      <c r="AD23" s="5" t="s">
        <v>91</v>
      </c>
      <c r="AE23" s="5" t="s">
        <v>36</v>
      </c>
    </row>
    <row r="24" spans="1:31" ht="38" customHeight="1" x14ac:dyDescent="0.25">
      <c r="A24" s="5">
        <v>17</v>
      </c>
      <c r="B24" s="5" t="s">
        <v>92</v>
      </c>
      <c r="C24" s="5" t="s">
        <v>93</v>
      </c>
      <c r="D24" s="5" t="s">
        <v>94</v>
      </c>
      <c r="E24" s="5" t="s">
        <v>95</v>
      </c>
      <c r="F24" s="36"/>
      <c r="G24" s="37"/>
      <c r="H24" s="36"/>
      <c r="I24" s="37"/>
      <c r="J24" s="36"/>
      <c r="K24" s="37"/>
      <c r="L24" s="36"/>
      <c r="M24" s="37"/>
      <c r="N24" s="36"/>
      <c r="O24" s="37"/>
      <c r="P24" s="36"/>
      <c r="Q24" s="37"/>
      <c r="R24" s="36"/>
      <c r="S24" s="37"/>
      <c r="T24" s="36"/>
      <c r="U24" s="37"/>
      <c r="V24" s="36"/>
      <c r="W24" s="6"/>
      <c r="X24" s="7" t="s">
        <v>27</v>
      </c>
      <c r="Y24" s="6"/>
      <c r="Z24" s="7" t="s">
        <v>27</v>
      </c>
      <c r="AA24" s="6"/>
      <c r="AB24" s="7" t="s">
        <v>27</v>
      </c>
      <c r="AC24" s="6"/>
      <c r="AD24" s="5" t="s">
        <v>96</v>
      </c>
      <c r="AE24" s="5" t="s">
        <v>36</v>
      </c>
    </row>
    <row r="25" spans="1:31" ht="35.5" customHeight="1" x14ac:dyDescent="0.25">
      <c r="A25" s="5">
        <v>18</v>
      </c>
      <c r="B25" s="5" t="s">
        <v>92</v>
      </c>
      <c r="C25" s="5" t="s">
        <v>97</v>
      </c>
      <c r="D25" s="5" t="s">
        <v>98</v>
      </c>
      <c r="E25" s="5" t="s">
        <v>99</v>
      </c>
      <c r="F25" s="3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 t="s">
        <v>27</v>
      </c>
      <c r="AA25" s="6"/>
      <c r="AB25" s="6"/>
      <c r="AC25" s="6"/>
      <c r="AD25" s="5" t="s">
        <v>100</v>
      </c>
      <c r="AE25" s="5" t="s">
        <v>36</v>
      </c>
    </row>
    <row r="26" spans="1:31" ht="27.75" customHeight="1" x14ac:dyDescent="0.25">
      <c r="A26" s="5">
        <v>19</v>
      </c>
      <c r="B26" s="5" t="s">
        <v>101</v>
      </c>
      <c r="C26" s="5" t="s">
        <v>102</v>
      </c>
      <c r="D26" s="5" t="s">
        <v>60</v>
      </c>
      <c r="E26" s="5" t="s">
        <v>103</v>
      </c>
      <c r="F26" s="36"/>
      <c r="G26" s="37"/>
      <c r="H26" s="36"/>
      <c r="I26" s="37"/>
      <c r="J26" s="36"/>
      <c r="K26" s="37"/>
      <c r="L26" s="36"/>
      <c r="M26" s="37"/>
      <c r="N26" s="36"/>
      <c r="O26" s="37"/>
      <c r="P26" s="36"/>
      <c r="Q26" s="37"/>
      <c r="R26" s="36"/>
      <c r="S26" s="37"/>
      <c r="T26" s="36"/>
      <c r="U26" s="6"/>
      <c r="V26" s="7" t="s">
        <v>27</v>
      </c>
      <c r="W26" s="6"/>
      <c r="X26" s="7" t="s">
        <v>27</v>
      </c>
      <c r="Y26" s="6"/>
      <c r="Z26" s="7" t="s">
        <v>27</v>
      </c>
      <c r="AA26" s="6"/>
      <c r="AB26" s="7" t="s">
        <v>27</v>
      </c>
      <c r="AC26" s="6"/>
      <c r="AD26" s="5" t="s">
        <v>104</v>
      </c>
      <c r="AE26" s="5" t="s">
        <v>36</v>
      </c>
    </row>
    <row r="27" spans="1:31" ht="27.75" customHeight="1" x14ac:dyDescent="0.25">
      <c r="A27" s="5">
        <v>20</v>
      </c>
      <c r="B27" s="5" t="s">
        <v>105</v>
      </c>
      <c r="C27" s="5" t="s">
        <v>106</v>
      </c>
      <c r="D27" s="5" t="s">
        <v>51</v>
      </c>
      <c r="E27" s="5" t="s">
        <v>107</v>
      </c>
      <c r="F27" s="36"/>
      <c r="G27" s="37"/>
      <c r="H27" s="36"/>
      <c r="I27" s="37"/>
      <c r="J27" s="36"/>
      <c r="K27" s="37"/>
      <c r="L27" s="36"/>
      <c r="M27" s="37"/>
      <c r="N27" s="36"/>
      <c r="O27" s="37"/>
      <c r="P27" s="36"/>
      <c r="Q27" s="37"/>
      <c r="R27" s="36"/>
      <c r="S27" s="37"/>
      <c r="T27" s="36"/>
      <c r="U27" s="6"/>
      <c r="V27" s="7" t="s">
        <v>27</v>
      </c>
      <c r="W27" s="6"/>
      <c r="X27" s="7" t="s">
        <v>27</v>
      </c>
      <c r="Y27" s="6"/>
      <c r="Z27" s="7" t="s">
        <v>27</v>
      </c>
      <c r="AA27" s="6"/>
      <c r="AB27" s="7" t="s">
        <v>27</v>
      </c>
      <c r="AC27" s="6"/>
      <c r="AD27" s="5" t="s">
        <v>108</v>
      </c>
      <c r="AE27" s="5" t="s">
        <v>36</v>
      </c>
    </row>
    <row r="28" spans="1:31" ht="27.75" customHeight="1" x14ac:dyDescent="0.25">
      <c r="A28" s="5">
        <v>21</v>
      </c>
      <c r="B28" s="5" t="s">
        <v>105</v>
      </c>
      <c r="C28" s="5" t="s">
        <v>109</v>
      </c>
      <c r="D28" s="5" t="s">
        <v>47</v>
      </c>
      <c r="E28" s="5" t="s">
        <v>61</v>
      </c>
      <c r="F28" s="36"/>
      <c r="G28" s="37"/>
      <c r="H28" s="36"/>
      <c r="I28" s="37"/>
      <c r="J28" s="36"/>
      <c r="K28" s="37"/>
      <c r="L28" s="36"/>
      <c r="M28" s="37"/>
      <c r="N28" s="36"/>
      <c r="O28" s="37"/>
      <c r="P28" s="36"/>
      <c r="Q28" s="37"/>
      <c r="R28" s="36"/>
      <c r="S28" s="37"/>
      <c r="T28" s="36"/>
      <c r="U28" s="6"/>
      <c r="V28" s="7" t="s">
        <v>27</v>
      </c>
      <c r="W28" s="6"/>
      <c r="X28" s="7" t="s">
        <v>27</v>
      </c>
      <c r="Y28" s="6"/>
      <c r="Z28" s="7" t="s">
        <v>27</v>
      </c>
      <c r="AA28" s="6"/>
      <c r="AB28" s="7" t="s">
        <v>27</v>
      </c>
      <c r="AC28" s="6"/>
      <c r="AD28" s="5" t="s">
        <v>110</v>
      </c>
      <c r="AE28" s="5" t="s">
        <v>36</v>
      </c>
    </row>
    <row r="29" spans="1:31" ht="27.75" customHeight="1" x14ac:dyDescent="0.25">
      <c r="A29" s="5">
        <v>22</v>
      </c>
      <c r="B29" s="5" t="s">
        <v>111</v>
      </c>
      <c r="C29" s="5" t="s">
        <v>112</v>
      </c>
      <c r="D29" s="5" t="s">
        <v>60</v>
      </c>
      <c r="E29" s="5" t="s">
        <v>61</v>
      </c>
      <c r="F29" s="36"/>
      <c r="G29" s="37"/>
      <c r="H29" s="36"/>
      <c r="I29" s="37"/>
      <c r="J29" s="36"/>
      <c r="K29" s="37"/>
      <c r="L29" s="36"/>
      <c r="M29" s="37"/>
      <c r="N29" s="36"/>
      <c r="O29" s="37"/>
      <c r="P29" s="36"/>
      <c r="Q29" s="37"/>
      <c r="R29" s="36"/>
      <c r="S29" s="37"/>
      <c r="T29" s="36"/>
      <c r="U29" s="6"/>
      <c r="V29" s="7" t="s">
        <v>27</v>
      </c>
      <c r="W29" s="6"/>
      <c r="X29" s="7" t="s">
        <v>27</v>
      </c>
      <c r="Y29" s="6"/>
      <c r="Z29" s="7" t="s">
        <v>27</v>
      </c>
      <c r="AA29" s="6"/>
      <c r="AB29" s="7" t="s">
        <v>27</v>
      </c>
      <c r="AC29" s="6"/>
      <c r="AD29" s="5" t="s">
        <v>113</v>
      </c>
      <c r="AE29" s="5" t="s">
        <v>36</v>
      </c>
    </row>
    <row r="30" spans="1:31" ht="27.75" customHeight="1" x14ac:dyDescent="0.25">
      <c r="A30" s="5">
        <v>23</v>
      </c>
      <c r="B30" s="5" t="s">
        <v>114</v>
      </c>
      <c r="C30" s="5" t="s">
        <v>115</v>
      </c>
      <c r="D30" s="5" t="s">
        <v>116</v>
      </c>
      <c r="E30" s="5" t="s">
        <v>48</v>
      </c>
      <c r="F30" s="36"/>
      <c r="G30" s="37"/>
      <c r="H30" s="36"/>
      <c r="I30" s="37"/>
      <c r="J30" s="36"/>
      <c r="K30" s="37"/>
      <c r="L30" s="36"/>
      <c r="M30" s="37"/>
      <c r="N30" s="36"/>
      <c r="O30" s="37"/>
      <c r="P30" s="36"/>
      <c r="Q30" s="37"/>
      <c r="R30" s="36"/>
      <c r="S30" s="37"/>
      <c r="T30" s="36"/>
      <c r="U30" s="6"/>
      <c r="V30" s="7" t="s">
        <v>27</v>
      </c>
      <c r="W30" s="6"/>
      <c r="X30" s="7" t="s">
        <v>27</v>
      </c>
      <c r="Y30" s="6"/>
      <c r="Z30" s="7" t="s">
        <v>27</v>
      </c>
      <c r="AA30" s="6"/>
      <c r="AB30" s="7" t="s">
        <v>27</v>
      </c>
      <c r="AC30" s="6"/>
      <c r="AD30" s="5" t="s">
        <v>117</v>
      </c>
      <c r="AE30" s="5" t="s">
        <v>36</v>
      </c>
    </row>
    <row r="31" spans="1:31" ht="27.75" customHeight="1" x14ac:dyDescent="0.25">
      <c r="A31" s="5">
        <v>24</v>
      </c>
      <c r="B31" s="5" t="s">
        <v>118</v>
      </c>
      <c r="C31" s="5" t="s">
        <v>119</v>
      </c>
      <c r="D31" s="5" t="s">
        <v>120</v>
      </c>
      <c r="E31" s="5" t="s">
        <v>121</v>
      </c>
      <c r="F31" s="3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 t="s">
        <v>27</v>
      </c>
      <c r="AA31" s="6"/>
      <c r="AB31" s="6"/>
      <c r="AC31" s="6"/>
      <c r="AD31" s="5" t="s">
        <v>122</v>
      </c>
      <c r="AE31" s="5" t="s">
        <v>36</v>
      </c>
    </row>
    <row r="32" spans="1:31" ht="33" customHeight="1" x14ac:dyDescent="0.25">
      <c r="A32" s="5">
        <v>25</v>
      </c>
      <c r="B32" s="5" t="s">
        <v>123</v>
      </c>
      <c r="C32" s="5" t="s">
        <v>124</v>
      </c>
      <c r="D32" s="5" t="s">
        <v>125</v>
      </c>
      <c r="E32" s="5" t="s">
        <v>34</v>
      </c>
      <c r="F32" s="6"/>
      <c r="G32" s="6"/>
      <c r="H32" s="6"/>
      <c r="I32" s="6"/>
      <c r="J32" s="3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7" t="s">
        <v>27</v>
      </c>
      <c r="AC32" s="6"/>
      <c r="AD32" s="5" t="s">
        <v>126</v>
      </c>
      <c r="AE32" s="5" t="s">
        <v>36</v>
      </c>
    </row>
    <row r="33" spans="1:31" ht="27.75" customHeight="1" x14ac:dyDescent="0.25">
      <c r="A33" s="5">
        <v>26</v>
      </c>
      <c r="B33" s="5" t="s">
        <v>127</v>
      </c>
      <c r="C33" s="5" t="s">
        <v>128</v>
      </c>
      <c r="D33" s="5" t="s">
        <v>129</v>
      </c>
      <c r="E33" s="5" t="s">
        <v>130</v>
      </c>
      <c r="F33" s="36"/>
      <c r="G33" s="37"/>
      <c r="H33" s="36"/>
      <c r="I33" s="37"/>
      <c r="J33" s="36"/>
      <c r="K33" s="37"/>
      <c r="L33" s="36"/>
      <c r="M33" s="37"/>
      <c r="N33" s="36"/>
      <c r="O33" s="37"/>
      <c r="P33" s="36"/>
      <c r="Q33" s="37"/>
      <c r="R33" s="36"/>
      <c r="S33" s="37"/>
      <c r="T33" s="36"/>
      <c r="U33" s="6"/>
      <c r="V33" s="7" t="s">
        <v>27</v>
      </c>
      <c r="W33" s="6"/>
      <c r="X33" s="7" t="s">
        <v>27</v>
      </c>
      <c r="Y33" s="6"/>
      <c r="Z33" s="7" t="s">
        <v>27</v>
      </c>
      <c r="AA33" s="6"/>
      <c r="AB33" s="7" t="s">
        <v>27</v>
      </c>
      <c r="AC33" s="6"/>
      <c r="AD33" s="5" t="s">
        <v>131</v>
      </c>
      <c r="AE33" s="5" t="s">
        <v>36</v>
      </c>
    </row>
    <row r="34" spans="1:31" ht="27.75" customHeight="1" x14ac:dyDescent="0.25">
      <c r="A34" s="5">
        <v>27</v>
      </c>
      <c r="B34" s="5" t="s">
        <v>127</v>
      </c>
      <c r="C34" s="5" t="s">
        <v>132</v>
      </c>
      <c r="D34" s="5" t="s">
        <v>133</v>
      </c>
      <c r="E34" s="5" t="s">
        <v>134</v>
      </c>
      <c r="F34" s="3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 t="s">
        <v>27</v>
      </c>
      <c r="W34" s="6"/>
      <c r="X34" s="7" t="s">
        <v>27</v>
      </c>
      <c r="Y34" s="6"/>
      <c r="Z34" s="7" t="s">
        <v>27</v>
      </c>
      <c r="AA34" s="6"/>
      <c r="AB34" s="7" t="s">
        <v>27</v>
      </c>
      <c r="AC34" s="6"/>
      <c r="AD34" s="5" t="s">
        <v>135</v>
      </c>
      <c r="AE34" s="5" t="s">
        <v>36</v>
      </c>
    </row>
    <row r="35" spans="1:31" ht="27.75" customHeight="1" x14ac:dyDescent="0.25">
      <c r="A35" s="5">
        <v>28</v>
      </c>
      <c r="B35" s="5" t="s">
        <v>127</v>
      </c>
      <c r="C35" s="5" t="s">
        <v>136</v>
      </c>
      <c r="D35" s="5" t="s">
        <v>137</v>
      </c>
      <c r="E35" s="5" t="s">
        <v>138</v>
      </c>
      <c r="F35" s="36"/>
      <c r="G35" s="37"/>
      <c r="H35" s="36"/>
      <c r="I35" s="37"/>
      <c r="J35" s="36"/>
      <c r="K35" s="37"/>
      <c r="L35" s="36"/>
      <c r="M35" s="37"/>
      <c r="N35" s="36"/>
      <c r="O35" s="37"/>
      <c r="P35" s="36"/>
      <c r="Q35" s="37"/>
      <c r="R35" s="36"/>
      <c r="S35" s="37"/>
      <c r="T35" s="36"/>
      <c r="U35" s="6"/>
      <c r="V35" s="7" t="s">
        <v>27</v>
      </c>
      <c r="W35" s="6"/>
      <c r="X35" s="7" t="s">
        <v>27</v>
      </c>
      <c r="Y35" s="6"/>
      <c r="Z35" s="7" t="s">
        <v>27</v>
      </c>
      <c r="AA35" s="6"/>
      <c r="AB35" s="7" t="s">
        <v>27</v>
      </c>
      <c r="AC35" s="6"/>
      <c r="AD35" s="5" t="s">
        <v>139</v>
      </c>
      <c r="AE35" s="5" t="s">
        <v>36</v>
      </c>
    </row>
    <row r="36" spans="1:31" ht="27.75" customHeight="1" x14ac:dyDescent="0.25">
      <c r="A36" s="5">
        <v>29</v>
      </c>
      <c r="B36" s="5" t="s">
        <v>140</v>
      </c>
      <c r="C36" s="5" t="s">
        <v>141</v>
      </c>
      <c r="D36" s="5" t="s">
        <v>83</v>
      </c>
      <c r="E36" s="5" t="s">
        <v>142</v>
      </c>
      <c r="F36" s="3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 t="s">
        <v>27</v>
      </c>
      <c r="AA36" s="6"/>
      <c r="AB36" s="6"/>
      <c r="AC36" s="6"/>
      <c r="AD36" s="5" t="s">
        <v>143</v>
      </c>
      <c r="AE36" s="5" t="s">
        <v>36</v>
      </c>
    </row>
    <row r="37" spans="1:31" ht="27.75" customHeight="1" x14ac:dyDescent="0.25">
      <c r="A37" s="5">
        <v>30</v>
      </c>
      <c r="B37" s="5" t="s">
        <v>144</v>
      </c>
      <c r="C37" s="5" t="s">
        <v>145</v>
      </c>
      <c r="D37" s="5" t="s">
        <v>146</v>
      </c>
      <c r="E37" s="5" t="s">
        <v>34</v>
      </c>
      <c r="F37" s="36"/>
      <c r="G37" s="37"/>
      <c r="H37" s="36"/>
      <c r="I37" s="37"/>
      <c r="J37" s="36"/>
      <c r="K37" s="37"/>
      <c r="L37" s="36"/>
      <c r="M37" s="37"/>
      <c r="N37" s="36"/>
      <c r="O37" s="37"/>
      <c r="P37" s="36"/>
      <c r="Q37" s="37"/>
      <c r="R37" s="36"/>
      <c r="S37" s="37"/>
      <c r="T37" s="36"/>
      <c r="U37" s="6"/>
      <c r="V37" s="7" t="s">
        <v>27</v>
      </c>
      <c r="W37" s="6"/>
      <c r="X37" s="7" t="s">
        <v>27</v>
      </c>
      <c r="Y37" s="6"/>
      <c r="Z37" s="7" t="s">
        <v>27</v>
      </c>
      <c r="AA37" s="6"/>
      <c r="AB37" s="7" t="s">
        <v>27</v>
      </c>
      <c r="AC37" s="6"/>
      <c r="AD37" s="5" t="s">
        <v>147</v>
      </c>
      <c r="AE37" s="5" t="s">
        <v>36</v>
      </c>
    </row>
    <row r="38" spans="1:31" ht="27.75" customHeight="1" x14ac:dyDescent="0.25">
      <c r="A38" s="5">
        <v>31</v>
      </c>
      <c r="B38" s="5" t="s">
        <v>148</v>
      </c>
      <c r="C38" s="5" t="s">
        <v>149</v>
      </c>
      <c r="D38" s="5" t="s">
        <v>68</v>
      </c>
      <c r="E38" s="5" t="s">
        <v>150</v>
      </c>
      <c r="F38" s="3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 t="s">
        <v>27</v>
      </c>
      <c r="W38" s="6"/>
      <c r="X38" s="6"/>
      <c r="Y38" s="6"/>
      <c r="Z38" s="6"/>
      <c r="AA38" s="6"/>
      <c r="AB38" s="6"/>
      <c r="AC38" s="6"/>
      <c r="AD38" s="5" t="s">
        <v>151</v>
      </c>
      <c r="AE38" s="5" t="s">
        <v>36</v>
      </c>
    </row>
    <row r="39" spans="1:31" ht="27.75" customHeight="1" x14ac:dyDescent="0.25">
      <c r="A39" s="5">
        <v>32</v>
      </c>
      <c r="B39" s="5" t="s">
        <v>152</v>
      </c>
      <c r="C39" s="5" t="s">
        <v>153</v>
      </c>
      <c r="D39" s="5" t="s">
        <v>154</v>
      </c>
      <c r="E39" s="5" t="s">
        <v>155</v>
      </c>
      <c r="F39" s="3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 t="s">
        <v>27</v>
      </c>
      <c r="W39" s="6"/>
      <c r="X39" s="6"/>
      <c r="Y39" s="6"/>
      <c r="Z39" s="6"/>
      <c r="AA39" s="6"/>
      <c r="AB39" s="6"/>
      <c r="AC39" s="6"/>
      <c r="AD39" s="5" t="s">
        <v>156</v>
      </c>
      <c r="AE39" s="5" t="s">
        <v>36</v>
      </c>
    </row>
    <row r="40" spans="1:31" ht="27.75" customHeight="1" x14ac:dyDescent="0.25">
      <c r="A40" s="5">
        <v>33</v>
      </c>
      <c r="B40" s="5" t="s">
        <v>157</v>
      </c>
      <c r="C40" s="5" t="s">
        <v>158</v>
      </c>
      <c r="D40" s="5" t="s">
        <v>159</v>
      </c>
      <c r="E40" s="5" t="s">
        <v>160</v>
      </c>
      <c r="F40" s="36"/>
      <c r="G40" s="37"/>
      <c r="H40" s="36"/>
      <c r="I40" s="37"/>
      <c r="J40" s="36"/>
      <c r="K40" s="37"/>
      <c r="L40" s="36"/>
      <c r="M40" s="37"/>
      <c r="N40" s="36"/>
      <c r="O40" s="37"/>
      <c r="P40" s="36"/>
      <c r="Q40" s="37"/>
      <c r="R40" s="36"/>
      <c r="S40" s="37"/>
      <c r="T40" s="36"/>
      <c r="U40" s="6"/>
      <c r="V40" s="7" t="s">
        <v>27</v>
      </c>
      <c r="W40" s="6"/>
      <c r="X40" s="7" t="s">
        <v>27</v>
      </c>
      <c r="Y40" s="6"/>
      <c r="Z40" s="7" t="s">
        <v>27</v>
      </c>
      <c r="AA40" s="6"/>
      <c r="AB40" s="7" t="s">
        <v>27</v>
      </c>
      <c r="AC40" s="6"/>
      <c r="AD40" s="5" t="s">
        <v>161</v>
      </c>
      <c r="AE40" s="5" t="s">
        <v>36</v>
      </c>
    </row>
    <row r="41" spans="1:31" ht="27.75" customHeight="1" x14ac:dyDescent="0.25">
      <c r="A41" s="5">
        <v>34</v>
      </c>
      <c r="B41" s="5" t="s">
        <v>162</v>
      </c>
      <c r="C41" s="5" t="s">
        <v>163</v>
      </c>
      <c r="D41" s="5" t="s">
        <v>164</v>
      </c>
      <c r="E41" s="5" t="s">
        <v>165</v>
      </c>
      <c r="F41" s="36"/>
      <c r="G41" s="37"/>
      <c r="H41" s="36"/>
      <c r="I41" s="37"/>
      <c r="J41" s="36"/>
      <c r="K41" s="37"/>
      <c r="L41" s="36"/>
      <c r="M41" s="37"/>
      <c r="N41" s="36"/>
      <c r="O41" s="37"/>
      <c r="P41" s="36"/>
      <c r="Q41" s="37"/>
      <c r="R41" s="36"/>
      <c r="S41" s="37"/>
      <c r="T41" s="36"/>
      <c r="U41" s="6"/>
      <c r="V41" s="7" t="s">
        <v>27</v>
      </c>
      <c r="W41" s="6"/>
      <c r="X41" s="7" t="s">
        <v>27</v>
      </c>
      <c r="Y41" s="6"/>
      <c r="Z41" s="7" t="s">
        <v>27</v>
      </c>
      <c r="AA41" s="6"/>
      <c r="AB41" s="7" t="s">
        <v>27</v>
      </c>
      <c r="AC41" s="6"/>
      <c r="AD41" s="5" t="s">
        <v>166</v>
      </c>
      <c r="AE41" s="5" t="s">
        <v>36</v>
      </c>
    </row>
    <row r="42" spans="1:31" ht="27.75" customHeight="1" x14ac:dyDescent="0.25">
      <c r="A42" s="5">
        <v>35</v>
      </c>
      <c r="B42" s="5" t="s">
        <v>167</v>
      </c>
      <c r="C42" s="5" t="s">
        <v>168</v>
      </c>
      <c r="D42" s="5" t="s">
        <v>83</v>
      </c>
      <c r="E42" s="5" t="s">
        <v>169</v>
      </c>
      <c r="F42" s="3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 t="s">
        <v>27</v>
      </c>
      <c r="W42" s="6"/>
      <c r="X42" s="7" t="s">
        <v>27</v>
      </c>
      <c r="Y42" s="6"/>
      <c r="Z42" s="7" t="s">
        <v>27</v>
      </c>
      <c r="AA42" s="6"/>
      <c r="AB42" s="7" t="s">
        <v>27</v>
      </c>
      <c r="AC42" s="6"/>
      <c r="AD42" s="5" t="s">
        <v>170</v>
      </c>
      <c r="AE42" s="5" t="s">
        <v>36</v>
      </c>
    </row>
    <row r="43" spans="1:31" ht="30.5" customHeight="1" x14ac:dyDescent="0.25">
      <c r="A43" s="5">
        <v>36</v>
      </c>
      <c r="B43" s="5" t="s">
        <v>171</v>
      </c>
      <c r="C43" s="5" t="s">
        <v>172</v>
      </c>
      <c r="D43" s="5" t="s">
        <v>94</v>
      </c>
      <c r="E43" s="5" t="s">
        <v>48</v>
      </c>
      <c r="F43" s="36"/>
      <c r="G43" s="37"/>
      <c r="H43" s="36"/>
      <c r="I43" s="37"/>
      <c r="J43" s="36"/>
      <c r="K43" s="37"/>
      <c r="L43" s="36"/>
      <c r="M43" s="37"/>
      <c r="N43" s="36"/>
      <c r="O43" s="37"/>
      <c r="P43" s="36"/>
      <c r="Q43" s="37"/>
      <c r="R43" s="38"/>
      <c r="S43" s="39"/>
      <c r="T43" s="38"/>
      <c r="U43" s="15"/>
      <c r="V43" s="14" t="s">
        <v>27</v>
      </c>
      <c r="W43" s="15"/>
      <c r="X43" s="14" t="s">
        <v>27</v>
      </c>
      <c r="Y43" s="15"/>
      <c r="Z43" s="14" t="s">
        <v>27</v>
      </c>
      <c r="AA43" s="15"/>
      <c r="AB43" s="14" t="s">
        <v>27</v>
      </c>
      <c r="AC43" s="15"/>
      <c r="AD43" s="5" t="s">
        <v>173</v>
      </c>
      <c r="AE43" s="5" t="s">
        <v>36</v>
      </c>
    </row>
    <row r="44" spans="1:31" ht="27.75" customHeight="1" x14ac:dyDescent="0.25">
      <c r="A44" s="21">
        <v>37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20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27.75" customHeight="1" x14ac:dyDescent="0.25">
      <c r="A45" s="24">
        <v>38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5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pans="1:31" ht="27.75" customHeight="1" x14ac:dyDescent="0.25">
      <c r="A46" s="17"/>
      <c r="B46" s="28" t="s">
        <v>174</v>
      </c>
      <c r="C46" s="28"/>
      <c r="D46" s="28"/>
      <c r="E46" s="28"/>
      <c r="F46" s="28"/>
      <c r="G46" s="28" t="s">
        <v>175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3"/>
      <c r="S46" s="23"/>
      <c r="T46" s="23"/>
      <c r="U46" s="28" t="s">
        <v>176</v>
      </c>
      <c r="V46" s="28"/>
      <c r="W46" s="28"/>
      <c r="X46" s="28"/>
      <c r="Y46" s="28"/>
      <c r="Z46" s="28"/>
      <c r="AA46" s="23"/>
      <c r="AB46" s="23"/>
      <c r="AC46" s="23"/>
      <c r="AD46" s="22"/>
      <c r="AE46" s="22"/>
    </row>
  </sheetData>
  <mergeCells count="26">
    <mergeCell ref="AD6:AE6"/>
    <mergeCell ref="A1:B1"/>
    <mergeCell ref="C1:AC1"/>
    <mergeCell ref="AD1:AE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B46:F46"/>
    <mergeCell ref="U46:Z46"/>
    <mergeCell ref="A2:B2"/>
    <mergeCell ref="A3:B3"/>
    <mergeCell ref="A4:B4"/>
    <mergeCell ref="A5:B5"/>
    <mergeCell ref="G46:Q46"/>
    <mergeCell ref="C3:AC3"/>
    <mergeCell ref="C4:AA4"/>
    <mergeCell ref="C5:AC5"/>
  </mergeCells>
  <conditionalFormatting sqref="G8:G45">
    <cfRule type="cellIs" dxfId="18" priority="12" operator="equal">
      <formula>"G"</formula>
    </cfRule>
  </conditionalFormatting>
  <conditionalFormatting sqref="I8:I45">
    <cfRule type="cellIs" dxfId="17" priority="13" operator="equal">
      <formula>"G"</formula>
    </cfRule>
  </conditionalFormatting>
  <conditionalFormatting sqref="K8:K45">
    <cfRule type="cellIs" dxfId="16" priority="14" operator="equal">
      <formula>"G"</formula>
    </cfRule>
  </conditionalFormatting>
  <conditionalFormatting sqref="M8:M45">
    <cfRule type="cellIs" dxfId="15" priority="15" operator="equal">
      <formula>"G"</formula>
    </cfRule>
  </conditionalFormatting>
  <conditionalFormatting sqref="O8:O45">
    <cfRule type="cellIs" dxfId="14" priority="16" operator="equal">
      <formula>"G"</formula>
    </cfRule>
  </conditionalFormatting>
  <conditionalFormatting sqref="Q8:Q45">
    <cfRule type="cellIs" dxfId="13" priority="17" operator="equal">
      <formula>"G"</formula>
    </cfRule>
  </conditionalFormatting>
  <conditionalFormatting sqref="S8:S43">
    <cfRule type="expression" dxfId="12" priority="8">
      <formula>S8="Tamamlandı"</formula>
    </cfRule>
    <cfRule type="expression" dxfId="11" priority="9">
      <formula>S8="Ertelendi"</formula>
    </cfRule>
    <cfRule type="expression" dxfId="10" priority="10">
      <formula>S8="İptal"</formula>
    </cfRule>
    <cfRule type="cellIs" dxfId="9" priority="11" operator="equal">
      <formula>"G"</formula>
    </cfRule>
  </conditionalFormatting>
  <conditionalFormatting sqref="S44:S45">
    <cfRule type="cellIs" dxfId="8" priority="4" operator="equal">
      <formula>"G"</formula>
    </cfRule>
  </conditionalFormatting>
  <conditionalFormatting sqref="U8:U45">
    <cfRule type="cellIs" dxfId="7" priority="5" operator="equal">
      <formula>"G"</formula>
    </cfRule>
  </conditionalFormatting>
  <conditionalFormatting sqref="W8:W45">
    <cfRule type="cellIs" dxfId="6" priority="6" operator="equal">
      <formula>"G"</formula>
    </cfRule>
  </conditionalFormatting>
  <conditionalFormatting sqref="Y8:Y43">
    <cfRule type="cellIs" dxfId="5" priority="20" operator="equal">
      <formula>"G"</formula>
    </cfRule>
  </conditionalFormatting>
  <conditionalFormatting sqref="Z44:Z45">
    <cfRule type="cellIs" dxfId="4" priority="1" operator="equal">
      <formula>"G"</formula>
    </cfRule>
  </conditionalFormatting>
  <conditionalFormatting sqref="AA8:AA43">
    <cfRule type="cellIs" dxfId="3" priority="21" operator="equal">
      <formula>"G"</formula>
    </cfRule>
  </conditionalFormatting>
  <conditionalFormatting sqref="AB44:AB45">
    <cfRule type="cellIs" dxfId="2" priority="2" operator="equal">
      <formula>"G"</formula>
    </cfRule>
  </conditionalFormatting>
  <conditionalFormatting sqref="AC8:AC43">
    <cfRule type="cellIs" dxfId="1" priority="22" operator="equal">
      <formula>"G"</formula>
    </cfRule>
  </conditionalFormatting>
  <conditionalFormatting sqref="AD44:AD45">
    <cfRule type="cellIs" dxfId="0" priority="3" operator="equal">
      <formula>"G"</formula>
    </cfRule>
  </conditionalFormatting>
  <dataValidations count="1">
    <dataValidation type="list" allowBlank="1" sqref="G8:G45 I8:I45 K8:K45 M8:M45 O8:O45 Q8:Q45 AC8:AC43 U8:U45 W8:W45 Y8:Y43 AA8:AA43 S8:S45 Z44:Z45 AB44:AB45 AD44:AD45" xr:uid="{00000000-0002-0000-0000-000000000000}">
      <formula1>"G"</formula1>
      <formula2>0</formula2>
    </dataValidation>
  </dataValidations>
  <printOptions horizontalCentered="1"/>
  <pageMargins left="0.120138888888889" right="0.120138888888889" top="0.3" bottom="0.6" header="0.511811023622047" footer="0.15"/>
  <pageSetup paperSize="9" scale="62" fitToHeight="0" orientation="landscape" horizontalDpi="300" verticalDpi="300" r:id="rId1"/>
  <headerFooter>
    <oddFooter>&amp;L&amp;"Calibri,Regular"&amp;8 İŞVEREN / İŞVEREN VEKİLİ_x005F_x000a_Ad Soyad / İmza&amp;C&amp;"Calibri,Regular"&amp;8 İŞ GÜVENLİĞİ UZMANI_x005F_x000a_Ad Soyad / İmza&amp;R&amp;"Calibri,Regular"&amp;8 İŞYERİ HEKİMİ_x005F_x000a_Ad Soyad / İmza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"/>
  <sheetViews>
    <sheetView zoomScaleNormal="100" workbookViewId="0">
      <selection sqref="A1:N1"/>
    </sheetView>
  </sheetViews>
  <sheetFormatPr defaultColWidth="8.6328125" defaultRowHeight="12.5" x14ac:dyDescent="0.25"/>
  <cols>
    <col min="1" max="1" width="26" customWidth="1"/>
    <col min="2" max="14" width="9" customWidth="1"/>
  </cols>
  <sheetData>
    <row r="1" spans="1:14" ht="19.5" x14ac:dyDescent="0.45">
      <c r="A1" s="35" t="s">
        <v>177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 ht="14.5" x14ac:dyDescent="0.35">
      <c r="A3" s="8" t="s">
        <v>23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8" t="s">
        <v>178</v>
      </c>
    </row>
    <row r="4" spans="1:14" ht="29" x14ac:dyDescent="0.35">
      <c r="A4" s="9" t="s">
        <v>31</v>
      </c>
      <c r="B4" s="19">
        <f>COUNTIFS('Yıllık Çalışma Planı'!$B$8:$B$45,$A4,'Yıllık Çalışma Planı'!$F$8:$F$45,"P")</f>
        <v>0</v>
      </c>
      <c r="C4" s="19">
        <f>COUNTIFS('Yıllık Çalışma Planı'!$B$8:$B$45,$A4,'Yıllık Çalışma Planı'!$H$8:$H$45,"P")</f>
        <v>0</v>
      </c>
      <c r="D4" s="19">
        <f>COUNTIFS('Yıllık Çalışma Planı'!$B$8:$B$45,$A4,'Yıllık Çalışma Planı'!$J$8:$J$45,"P")</f>
        <v>0</v>
      </c>
      <c r="E4" s="19">
        <f>COUNTIFS('Yıllık Çalışma Planı'!$B$8:$B$45,$A4,'Yıllık Çalışma Planı'!$L$8:$L$45,"P")</f>
        <v>0</v>
      </c>
      <c r="F4" s="19">
        <f>COUNTIFS('Yıllık Çalışma Planı'!$B$8:$B$45,$A4,'Yıllık Çalışma Planı'!$N$8:$N$45,"P")</f>
        <v>0</v>
      </c>
      <c r="G4" s="19">
        <f>COUNTIFS('Yıllık Çalışma Planı'!$B$8:$B$45,$A4,'Yıllık Çalışma Planı'!$P$8:$P$45,"P")</f>
        <v>0</v>
      </c>
      <c r="H4" s="19">
        <f>COUNTIFS('Yıllık Çalışma Planı'!$B$8:$B$45,$A4,'Yıllık Çalışma Planı'!$R$8:$R$45,"P")</f>
        <v>0</v>
      </c>
      <c r="I4" s="19" t="e">
        <f>COUNTIFS('Yıllık Çalışma Planı'!$B$8:$B$45,$A4,'Yıllık Çalışma Planı'!$T$8:$T$43,"P")</f>
        <v>#VALUE!</v>
      </c>
      <c r="J4" s="19" t="e">
        <f>COUNTIFS('Yıllık Çalışma Planı'!$B$8:$B$45,$A4,'Yıllık Çalışma Planı'!$V$8:$V$43,"P")</f>
        <v>#VALUE!</v>
      </c>
      <c r="K4" s="19" t="e">
        <f>COUNTIFS('Yıllık Çalışma Planı'!$B$8:$B$45,$A4,'Yıllık Çalışma Planı'!$X$8:$X$43,"P")</f>
        <v>#VALUE!</v>
      </c>
      <c r="L4" s="19" t="e">
        <f>COUNTIFS('Yıllık Çalışma Planı'!$B$8:$B$45,$A4,'Yıllık Çalışma Planı'!$Z$8:$Z$43,"P")</f>
        <v>#VALUE!</v>
      </c>
      <c r="M4" s="19" t="e">
        <f>COUNTIFS('Yıllık Çalışma Planı'!$B$8:$B$45,$A4,'Yıllık Çalışma Planı'!$AB$8:$AB$43,"P")</f>
        <v>#VALUE!</v>
      </c>
      <c r="N4" s="10" t="e">
        <f t="shared" ref="N4:N25" si="0">SUM(B4:M4)</f>
        <v>#VALUE!</v>
      </c>
    </row>
    <row r="5" spans="1:14" ht="14.5" x14ac:dyDescent="0.35">
      <c r="A5" s="9" t="s">
        <v>41</v>
      </c>
      <c r="B5" s="19">
        <f>COUNTIFS('Yıllık Çalışma Planı'!$B$8:$B$45,$A5,'Yıllık Çalışma Planı'!$F$8:$F$45,"P")</f>
        <v>0</v>
      </c>
      <c r="C5" s="19">
        <f>COUNTIFS('Yıllık Çalışma Planı'!$B$8:$B$45,$A5,'Yıllık Çalışma Planı'!$H$8:$H$45,"P")</f>
        <v>0</v>
      </c>
      <c r="D5" s="19">
        <f>COUNTIFS('Yıllık Çalışma Planı'!$B$8:$B$45,$A5,'Yıllık Çalışma Planı'!$J$8:$J$45,"P")</f>
        <v>0</v>
      </c>
      <c r="E5" s="19">
        <f>COUNTIFS('Yıllık Çalışma Planı'!$B$8:$B$45,$A5,'Yıllık Çalışma Planı'!$L$8:$L$45,"P")</f>
        <v>0</v>
      </c>
      <c r="F5" s="19">
        <f>COUNTIFS('Yıllık Çalışma Planı'!$B$8:$B$45,$A5,'Yıllık Çalışma Planı'!$N$8:$N$45,"P")</f>
        <v>0</v>
      </c>
      <c r="G5" s="19">
        <f>COUNTIFS('Yıllık Çalışma Planı'!$B$8:$B$45,$A5,'Yıllık Çalışma Planı'!$P$8:$P$45,"P")</f>
        <v>0</v>
      </c>
      <c r="H5" s="19">
        <f>COUNTIFS('Yıllık Çalışma Planı'!$B$8:$B$45,$A5,'Yıllık Çalışma Planı'!$R$8:$R$45,"P")</f>
        <v>0</v>
      </c>
      <c r="I5" s="19" t="e">
        <f>COUNTIFS('Yıllık Çalışma Planı'!$B$8:$B$45,$A5,'Yıllık Çalışma Planı'!$T$8:$T$43,"P")</f>
        <v>#VALUE!</v>
      </c>
      <c r="J5" s="19" t="e">
        <f>COUNTIFS('Yıllık Çalışma Planı'!$B$8:$B$45,$A5,'Yıllık Çalışma Planı'!$V$8:$V$43,"P")</f>
        <v>#VALUE!</v>
      </c>
      <c r="K5" s="19" t="e">
        <f>COUNTIFS('Yıllık Çalışma Planı'!$B$8:$B$45,$A5,'Yıllık Çalışma Planı'!$X$8:$X$43,"P")</f>
        <v>#VALUE!</v>
      </c>
      <c r="L5" s="19" t="e">
        <f>COUNTIFS('Yıllık Çalışma Planı'!$B$8:$B$45,$A5,'Yıllık Çalışma Planı'!$Z$8:$Z$43,"P")</f>
        <v>#VALUE!</v>
      </c>
      <c r="M5" s="19" t="e">
        <f>COUNTIFS('Yıllık Çalışma Planı'!$B$8:$B$45,$A5,'Yıllık Çalışma Planı'!$AB$8:$AB$43,"P")</f>
        <v>#VALUE!</v>
      </c>
      <c r="N5" s="10" t="e">
        <f t="shared" si="0"/>
        <v>#VALUE!</v>
      </c>
    </row>
    <row r="6" spans="1:14" ht="14.5" x14ac:dyDescent="0.35">
      <c r="A6" s="9" t="s">
        <v>54</v>
      </c>
      <c r="B6" s="19">
        <f>COUNTIFS('Yıllık Çalışma Planı'!$B$8:$B$45,$A6,'Yıllık Çalışma Planı'!$F$8:$F$45,"P")</f>
        <v>0</v>
      </c>
      <c r="C6" s="19">
        <f>COUNTIFS('Yıllık Çalışma Planı'!$B$8:$B$45,$A6,'Yıllık Çalışma Planı'!$H$8:$H$45,"P")</f>
        <v>0</v>
      </c>
      <c r="D6" s="19">
        <f>COUNTIFS('Yıllık Çalışma Planı'!$B$8:$B$45,$A6,'Yıllık Çalışma Planı'!$J$8:$J$45,"P")</f>
        <v>0</v>
      </c>
      <c r="E6" s="19">
        <f>COUNTIFS('Yıllık Çalışma Planı'!$B$8:$B$45,$A6,'Yıllık Çalışma Planı'!$L$8:$L$45,"P")</f>
        <v>0</v>
      </c>
      <c r="F6" s="19">
        <f>COUNTIFS('Yıllık Çalışma Planı'!$B$8:$B$45,$A6,'Yıllık Çalışma Planı'!$N$8:$N$45,"P")</f>
        <v>0</v>
      </c>
      <c r="G6" s="19">
        <f>COUNTIFS('Yıllık Çalışma Planı'!$B$8:$B$45,$A6,'Yıllık Çalışma Planı'!$P$8:$P$45,"P")</f>
        <v>0</v>
      </c>
      <c r="H6" s="19">
        <f>COUNTIFS('Yıllık Çalışma Planı'!$B$8:$B$45,$A6,'Yıllık Çalışma Planı'!$R$8:$R$45,"P")</f>
        <v>0</v>
      </c>
      <c r="I6" s="19" t="e">
        <f>COUNTIFS('Yıllık Çalışma Planı'!$B$8:$B$45,$A6,'Yıllık Çalışma Planı'!$T$8:$T$43,"P")</f>
        <v>#VALUE!</v>
      </c>
      <c r="J6" s="19" t="e">
        <f>COUNTIFS('Yıllık Çalışma Planı'!$B$8:$B$45,$A6,'Yıllık Çalışma Planı'!$V$8:$V$43,"P")</f>
        <v>#VALUE!</v>
      </c>
      <c r="K6" s="19" t="e">
        <f>COUNTIFS('Yıllık Çalışma Planı'!$B$8:$B$45,$A6,'Yıllık Çalışma Planı'!$X$8:$X$43,"P")</f>
        <v>#VALUE!</v>
      </c>
      <c r="L6" s="19" t="e">
        <f>COUNTIFS('Yıllık Çalışma Planı'!$B$8:$B$45,$A6,'Yıllık Çalışma Planı'!$Z$8:$Z$43,"P")</f>
        <v>#VALUE!</v>
      </c>
      <c r="M6" s="19" t="e">
        <f>COUNTIFS('Yıllık Çalışma Planı'!$B$8:$B$45,$A6,'Yıllık Çalışma Planı'!$AB$8:$AB$43,"P")</f>
        <v>#VALUE!</v>
      </c>
      <c r="N6" s="10" t="e">
        <f t="shared" si="0"/>
        <v>#VALUE!</v>
      </c>
    </row>
    <row r="7" spans="1:14" ht="14.5" x14ac:dyDescent="0.35">
      <c r="A7" s="9" t="s">
        <v>63</v>
      </c>
      <c r="B7" s="19">
        <f>COUNTIFS('Yıllık Çalışma Planı'!$B$8:$B$45,$A7,'Yıllık Çalışma Planı'!$F$8:$F$45,"P")</f>
        <v>0</v>
      </c>
      <c r="C7" s="19">
        <f>COUNTIFS('Yıllık Çalışma Planı'!$B$8:$B$45,$A7,'Yıllık Çalışma Planı'!$H$8:$H$45,"P")</f>
        <v>0</v>
      </c>
      <c r="D7" s="19">
        <f>COUNTIFS('Yıllık Çalışma Planı'!$B$8:$B$45,$A7,'Yıllık Çalışma Planı'!$J$8:$J$45,"P")</f>
        <v>0</v>
      </c>
      <c r="E7" s="19">
        <f>COUNTIFS('Yıllık Çalışma Planı'!$B$8:$B$45,$A7,'Yıllık Çalışma Planı'!$L$8:$L$45,"P")</f>
        <v>0</v>
      </c>
      <c r="F7" s="19">
        <f>COUNTIFS('Yıllık Çalışma Planı'!$B$8:$B$45,$A7,'Yıllık Çalışma Planı'!$N$8:$N$45,"P")</f>
        <v>0</v>
      </c>
      <c r="G7" s="19">
        <f>COUNTIFS('Yıllık Çalışma Planı'!$B$8:$B$45,$A7,'Yıllık Çalışma Planı'!$P$8:$P$45,"P")</f>
        <v>0</v>
      </c>
      <c r="H7" s="19">
        <f>COUNTIFS('Yıllık Çalışma Planı'!$B$8:$B$45,$A7,'Yıllık Çalışma Planı'!$R$8:$R$45,"P")</f>
        <v>0</v>
      </c>
      <c r="I7" s="19" t="e">
        <f>COUNTIFS('Yıllık Çalışma Planı'!$B$8:$B$45,$A7,'Yıllık Çalışma Planı'!$T$8:$T$43,"P")</f>
        <v>#VALUE!</v>
      </c>
      <c r="J7" s="19" t="e">
        <f>COUNTIFS('Yıllık Çalışma Planı'!$B$8:$B$45,$A7,'Yıllık Çalışma Planı'!$V$8:$V$43,"P")</f>
        <v>#VALUE!</v>
      </c>
      <c r="K7" s="19" t="e">
        <f>COUNTIFS('Yıllık Çalışma Planı'!$B$8:$B$45,$A7,'Yıllık Çalışma Planı'!$X$8:$X$43,"P")</f>
        <v>#VALUE!</v>
      </c>
      <c r="L7" s="19" t="e">
        <f>COUNTIFS('Yıllık Çalışma Planı'!$B$8:$B$45,$A7,'Yıllık Çalışma Planı'!$Z$8:$Z$43,"P")</f>
        <v>#VALUE!</v>
      </c>
      <c r="M7" s="19" t="e">
        <f>COUNTIFS('Yıllık Çalışma Planı'!$B$8:$B$45,$A7,'Yıllık Çalışma Planı'!$AB$8:$AB$43,"P")</f>
        <v>#VALUE!</v>
      </c>
      <c r="N7" s="10" t="e">
        <f t="shared" si="0"/>
        <v>#VALUE!</v>
      </c>
    </row>
    <row r="8" spans="1:14" ht="14.5" x14ac:dyDescent="0.35">
      <c r="A8" s="9" t="s">
        <v>77</v>
      </c>
      <c r="B8" s="19">
        <f>COUNTIFS('Yıllık Çalışma Planı'!$B$8:$B$45,$A8,'Yıllık Çalışma Planı'!$F$8:$F$45,"P")</f>
        <v>0</v>
      </c>
      <c r="C8" s="19">
        <f>COUNTIFS('Yıllık Çalışma Planı'!$B$8:$B$45,$A8,'Yıllık Çalışma Planı'!$H$8:$H$45,"P")</f>
        <v>0</v>
      </c>
      <c r="D8" s="19">
        <f>COUNTIFS('Yıllık Çalışma Planı'!$B$8:$B$45,$A8,'Yıllık Çalışma Planı'!$J$8:$J$45,"P")</f>
        <v>0</v>
      </c>
      <c r="E8" s="19">
        <f>COUNTIFS('Yıllık Çalışma Planı'!$B$8:$B$45,$A8,'Yıllık Çalışma Planı'!$L$8:$L$45,"P")</f>
        <v>0</v>
      </c>
      <c r="F8" s="19">
        <f>COUNTIFS('Yıllık Çalışma Planı'!$B$8:$B$45,$A8,'Yıllık Çalışma Planı'!$N$8:$N$45,"P")</f>
        <v>0</v>
      </c>
      <c r="G8" s="19">
        <f>COUNTIFS('Yıllık Çalışma Planı'!$B$8:$B$45,$A8,'Yıllık Çalışma Planı'!$P$8:$P$45,"P")</f>
        <v>0</v>
      </c>
      <c r="H8" s="19">
        <f>COUNTIFS('Yıllık Çalışma Planı'!$B$8:$B$45,$A8,'Yıllık Çalışma Planı'!$R$8:$R$45,"P")</f>
        <v>0</v>
      </c>
      <c r="I8" s="19" t="e">
        <f>COUNTIFS('Yıllık Çalışma Planı'!$B$8:$B$45,$A8,'Yıllık Çalışma Planı'!$T$8:$T$43,"P")</f>
        <v>#VALUE!</v>
      </c>
      <c r="J8" s="19" t="e">
        <f>COUNTIFS('Yıllık Çalışma Planı'!$B$8:$B$45,$A8,'Yıllık Çalışma Planı'!$V$8:$V$43,"P")</f>
        <v>#VALUE!</v>
      </c>
      <c r="K8" s="19" t="e">
        <f>COUNTIFS('Yıllık Çalışma Planı'!$B$8:$B$45,$A8,'Yıllık Çalışma Planı'!$X$8:$X$43,"P")</f>
        <v>#VALUE!</v>
      </c>
      <c r="L8" s="19" t="e">
        <f>COUNTIFS('Yıllık Çalışma Planı'!$B$8:$B$45,$A8,'Yıllık Çalışma Planı'!$Z$8:$Z$43,"P")</f>
        <v>#VALUE!</v>
      </c>
      <c r="M8" s="19" t="e">
        <f>COUNTIFS('Yıllık Çalışma Planı'!$B$8:$B$45,$A8,'Yıllık Çalışma Planı'!$AB$8:$AB$43,"P")</f>
        <v>#VALUE!</v>
      </c>
      <c r="N8" s="10" t="e">
        <f t="shared" si="0"/>
        <v>#VALUE!</v>
      </c>
    </row>
    <row r="9" spans="1:14" ht="14.5" x14ac:dyDescent="0.35">
      <c r="A9" s="9" t="s">
        <v>85</v>
      </c>
      <c r="B9" s="19">
        <f>COUNTIFS('Yıllık Çalışma Planı'!$B$8:$B$45,$A9,'Yıllık Çalışma Planı'!$F$8:$F$45,"P")</f>
        <v>0</v>
      </c>
      <c r="C9" s="19">
        <f>COUNTIFS('Yıllık Çalışma Planı'!$B$8:$B$45,$A9,'Yıllık Çalışma Planı'!$H$8:$H$45,"P")</f>
        <v>0</v>
      </c>
      <c r="D9" s="19">
        <f>COUNTIFS('Yıllık Çalışma Planı'!$B$8:$B$45,$A9,'Yıllık Çalışma Planı'!$J$8:$J$45,"P")</f>
        <v>0</v>
      </c>
      <c r="E9" s="19">
        <f>COUNTIFS('Yıllık Çalışma Planı'!$B$8:$B$45,$A9,'Yıllık Çalışma Planı'!$L$8:$L$45,"P")</f>
        <v>0</v>
      </c>
      <c r="F9" s="19">
        <f>COUNTIFS('Yıllık Çalışma Planı'!$B$8:$B$45,$A9,'Yıllık Çalışma Planı'!$N$8:$N$45,"P")</f>
        <v>0</v>
      </c>
      <c r="G9" s="19">
        <f>COUNTIFS('Yıllık Çalışma Planı'!$B$8:$B$45,$A9,'Yıllık Çalışma Planı'!$P$8:$P$45,"P")</f>
        <v>0</v>
      </c>
      <c r="H9" s="19">
        <f>COUNTIFS('Yıllık Çalışma Planı'!$B$8:$B$45,$A9,'Yıllık Çalışma Planı'!$R$8:$R$45,"P")</f>
        <v>0</v>
      </c>
      <c r="I9" s="19" t="e">
        <f>COUNTIFS('Yıllık Çalışma Planı'!$B$8:$B$45,$A9,'Yıllık Çalışma Planı'!$T$8:$T$43,"P")</f>
        <v>#VALUE!</v>
      </c>
      <c r="J9" s="19" t="e">
        <f>COUNTIFS('Yıllık Çalışma Planı'!$B$8:$B$45,$A9,'Yıllık Çalışma Planı'!$V$8:$V$43,"P")</f>
        <v>#VALUE!</v>
      </c>
      <c r="K9" s="19" t="e">
        <f>COUNTIFS('Yıllık Çalışma Planı'!$B$8:$B$45,$A9,'Yıllık Çalışma Planı'!$X$8:$X$43,"P")</f>
        <v>#VALUE!</v>
      </c>
      <c r="L9" s="19" t="e">
        <f>COUNTIFS('Yıllık Çalışma Planı'!$B$8:$B$45,$A9,'Yıllık Çalışma Planı'!$Z$8:$Z$43,"P")</f>
        <v>#VALUE!</v>
      </c>
      <c r="M9" s="19" t="e">
        <f>COUNTIFS('Yıllık Çalışma Planı'!$B$8:$B$45,$A9,'Yıllık Çalışma Planı'!$AB$8:$AB$43,"P")</f>
        <v>#VALUE!</v>
      </c>
      <c r="N9" s="10" t="e">
        <f t="shared" si="0"/>
        <v>#VALUE!</v>
      </c>
    </row>
    <row r="10" spans="1:14" ht="14.5" x14ac:dyDescent="0.35">
      <c r="A10" s="9" t="s">
        <v>92</v>
      </c>
      <c r="B10" s="19">
        <f>COUNTIFS('Yıllık Çalışma Planı'!$B$8:$B$45,$A10,'Yıllık Çalışma Planı'!$F$8:$F$45,"P")</f>
        <v>0</v>
      </c>
      <c r="C10" s="19">
        <f>COUNTIFS('Yıllık Çalışma Planı'!$B$8:$B$45,$A10,'Yıllık Çalışma Planı'!$H$8:$H$45,"P")</f>
        <v>0</v>
      </c>
      <c r="D10" s="19">
        <f>COUNTIFS('Yıllık Çalışma Planı'!$B$8:$B$45,$A10,'Yıllık Çalışma Planı'!$J$8:$J$45,"P")</f>
        <v>0</v>
      </c>
      <c r="E10" s="19">
        <f>COUNTIFS('Yıllık Çalışma Planı'!$B$8:$B$45,$A10,'Yıllık Çalışma Planı'!$L$8:$L$45,"P")</f>
        <v>0</v>
      </c>
      <c r="F10" s="19">
        <f>COUNTIFS('Yıllık Çalışma Planı'!$B$8:$B$45,$A10,'Yıllık Çalışma Planı'!$N$8:$N$45,"P")</f>
        <v>0</v>
      </c>
      <c r="G10" s="19">
        <f>COUNTIFS('Yıllık Çalışma Planı'!$B$8:$B$45,$A10,'Yıllık Çalışma Planı'!$P$8:$P$45,"P")</f>
        <v>0</v>
      </c>
      <c r="H10" s="19">
        <f>COUNTIFS('Yıllık Çalışma Planı'!$B$8:$B$45,$A10,'Yıllık Çalışma Planı'!$R$8:$R$45,"P")</f>
        <v>0</v>
      </c>
      <c r="I10" s="19" t="e">
        <f>COUNTIFS('Yıllık Çalışma Planı'!$B$8:$B$45,$A10,'Yıllık Çalışma Planı'!$T$8:$T$43,"P")</f>
        <v>#VALUE!</v>
      </c>
      <c r="J10" s="19" t="e">
        <f>COUNTIFS('Yıllık Çalışma Planı'!$B$8:$B$45,$A10,'Yıllık Çalışma Planı'!$V$8:$V$43,"P")</f>
        <v>#VALUE!</v>
      </c>
      <c r="K10" s="19" t="e">
        <f>COUNTIFS('Yıllık Çalışma Planı'!$B$8:$B$45,$A10,'Yıllık Çalışma Planı'!$X$8:$X$43,"P")</f>
        <v>#VALUE!</v>
      </c>
      <c r="L10" s="19" t="e">
        <f>COUNTIFS('Yıllık Çalışma Planı'!$B$8:$B$45,$A10,'Yıllık Çalışma Planı'!$Z$8:$Z$43,"P")</f>
        <v>#VALUE!</v>
      </c>
      <c r="M10" s="19" t="e">
        <f>COUNTIFS('Yıllık Çalışma Planı'!$B$8:$B$45,$A10,'Yıllık Çalışma Planı'!$AB$8:$AB$43,"P")</f>
        <v>#VALUE!</v>
      </c>
      <c r="N10" s="10" t="e">
        <f t="shared" si="0"/>
        <v>#VALUE!</v>
      </c>
    </row>
    <row r="11" spans="1:14" ht="14.5" x14ac:dyDescent="0.35">
      <c r="A11" s="9" t="s">
        <v>101</v>
      </c>
      <c r="B11" s="19">
        <f>COUNTIFS('Yıllık Çalışma Planı'!$B$8:$B$45,$A11,'Yıllık Çalışma Planı'!$F$8:$F$45,"P")</f>
        <v>0</v>
      </c>
      <c r="C11" s="19">
        <f>COUNTIFS('Yıllık Çalışma Planı'!$B$8:$B$45,$A11,'Yıllık Çalışma Planı'!$H$8:$H$45,"P")</f>
        <v>0</v>
      </c>
      <c r="D11" s="19">
        <f>COUNTIFS('Yıllık Çalışma Planı'!$B$8:$B$45,$A11,'Yıllık Çalışma Planı'!$J$8:$J$45,"P")</f>
        <v>0</v>
      </c>
      <c r="E11" s="19">
        <f>COUNTIFS('Yıllık Çalışma Planı'!$B$8:$B$45,$A11,'Yıllık Çalışma Planı'!$L$8:$L$45,"P")</f>
        <v>0</v>
      </c>
      <c r="F11" s="19">
        <f>COUNTIFS('Yıllık Çalışma Planı'!$B$8:$B$45,$A11,'Yıllık Çalışma Planı'!$N$8:$N$45,"P")</f>
        <v>0</v>
      </c>
      <c r="G11" s="19">
        <f>COUNTIFS('Yıllık Çalışma Planı'!$B$8:$B$45,$A11,'Yıllık Çalışma Planı'!$P$8:$P$45,"P")</f>
        <v>0</v>
      </c>
      <c r="H11" s="19">
        <f>COUNTIFS('Yıllık Çalışma Planı'!$B$8:$B$45,$A11,'Yıllık Çalışma Planı'!$R$8:$R$45,"P")</f>
        <v>0</v>
      </c>
      <c r="I11" s="19" t="e">
        <f>COUNTIFS('Yıllık Çalışma Planı'!$B$8:$B$45,$A11,'Yıllık Çalışma Planı'!$T$8:$T$43,"P")</f>
        <v>#VALUE!</v>
      </c>
      <c r="J11" s="19" t="e">
        <f>COUNTIFS('Yıllık Çalışma Planı'!$B$8:$B$45,$A11,'Yıllık Çalışma Planı'!$V$8:$V$43,"P")</f>
        <v>#VALUE!</v>
      </c>
      <c r="K11" s="19" t="e">
        <f>COUNTIFS('Yıllık Çalışma Planı'!$B$8:$B$45,$A11,'Yıllık Çalışma Planı'!$X$8:$X$43,"P")</f>
        <v>#VALUE!</v>
      </c>
      <c r="L11" s="19" t="e">
        <f>COUNTIFS('Yıllık Çalışma Planı'!$B$8:$B$45,$A11,'Yıllık Çalışma Planı'!$Z$8:$Z$43,"P")</f>
        <v>#VALUE!</v>
      </c>
      <c r="M11" s="19" t="e">
        <f>COUNTIFS('Yıllık Çalışma Planı'!$B$8:$B$45,$A11,'Yıllık Çalışma Planı'!$AB$8:$AB$43,"P")</f>
        <v>#VALUE!</v>
      </c>
      <c r="N11" s="10" t="e">
        <f t="shared" si="0"/>
        <v>#VALUE!</v>
      </c>
    </row>
    <row r="12" spans="1:14" ht="14.5" x14ac:dyDescent="0.35">
      <c r="A12" s="9" t="s">
        <v>105</v>
      </c>
      <c r="B12" s="19">
        <f>COUNTIFS('Yıllık Çalışma Planı'!$B$8:$B$45,$A12,'Yıllık Çalışma Planı'!$F$8:$F$45,"P")</f>
        <v>0</v>
      </c>
      <c r="C12" s="19">
        <f>COUNTIFS('Yıllık Çalışma Planı'!$B$8:$B$45,$A12,'Yıllık Çalışma Planı'!$H$8:$H$45,"P")</f>
        <v>0</v>
      </c>
      <c r="D12" s="19">
        <f>COUNTIFS('Yıllık Çalışma Planı'!$B$8:$B$45,$A12,'Yıllık Çalışma Planı'!$J$8:$J$45,"P")</f>
        <v>0</v>
      </c>
      <c r="E12" s="19">
        <f>COUNTIFS('Yıllık Çalışma Planı'!$B$8:$B$45,$A12,'Yıllık Çalışma Planı'!$L$8:$L$45,"P")</f>
        <v>0</v>
      </c>
      <c r="F12" s="19">
        <f>COUNTIFS('Yıllık Çalışma Planı'!$B$8:$B$45,$A12,'Yıllık Çalışma Planı'!$N$8:$N$45,"P")</f>
        <v>0</v>
      </c>
      <c r="G12" s="19">
        <f>COUNTIFS('Yıllık Çalışma Planı'!$B$8:$B$45,$A12,'Yıllık Çalışma Planı'!$P$8:$P$45,"P")</f>
        <v>0</v>
      </c>
      <c r="H12" s="19">
        <f>COUNTIFS('Yıllık Çalışma Planı'!$B$8:$B$45,$A12,'Yıllık Çalışma Planı'!$R$8:$R$45,"P")</f>
        <v>0</v>
      </c>
      <c r="I12" s="19" t="e">
        <f>COUNTIFS('Yıllık Çalışma Planı'!$B$8:$B$45,$A12,'Yıllık Çalışma Planı'!$T$8:$T$43,"P")</f>
        <v>#VALUE!</v>
      </c>
      <c r="J12" s="19" t="e">
        <f>COUNTIFS('Yıllık Çalışma Planı'!$B$8:$B$45,$A12,'Yıllık Çalışma Planı'!$V$8:$V$43,"P")</f>
        <v>#VALUE!</v>
      </c>
      <c r="K12" s="19" t="e">
        <f>COUNTIFS('Yıllık Çalışma Planı'!$B$8:$B$45,$A12,'Yıllık Çalışma Planı'!$X$8:$X$43,"P")</f>
        <v>#VALUE!</v>
      </c>
      <c r="L12" s="19" t="e">
        <f>COUNTIFS('Yıllık Çalışma Planı'!$B$8:$B$45,$A12,'Yıllık Çalışma Planı'!$Z$8:$Z$43,"P")</f>
        <v>#VALUE!</v>
      </c>
      <c r="M12" s="19" t="e">
        <f>COUNTIFS('Yıllık Çalışma Planı'!$B$8:$B$45,$A12,'Yıllık Çalışma Planı'!$AB$8:$AB$43,"P")</f>
        <v>#VALUE!</v>
      </c>
      <c r="N12" s="10" t="e">
        <f t="shared" si="0"/>
        <v>#VALUE!</v>
      </c>
    </row>
    <row r="13" spans="1:14" ht="14.5" x14ac:dyDescent="0.35">
      <c r="A13" s="9" t="s">
        <v>111</v>
      </c>
      <c r="B13" s="19">
        <f>COUNTIFS('Yıllık Çalışma Planı'!$B$8:$B$45,$A13,'Yıllık Çalışma Planı'!$F$8:$F$45,"P")</f>
        <v>0</v>
      </c>
      <c r="C13" s="19">
        <f>COUNTIFS('Yıllık Çalışma Planı'!$B$8:$B$45,$A13,'Yıllık Çalışma Planı'!$H$8:$H$45,"P")</f>
        <v>0</v>
      </c>
      <c r="D13" s="19">
        <f>COUNTIFS('Yıllık Çalışma Planı'!$B$8:$B$45,$A13,'Yıllık Çalışma Planı'!$J$8:$J$45,"P")</f>
        <v>0</v>
      </c>
      <c r="E13" s="19">
        <f>COUNTIFS('Yıllık Çalışma Planı'!$B$8:$B$45,$A13,'Yıllık Çalışma Planı'!$L$8:$L$45,"P")</f>
        <v>0</v>
      </c>
      <c r="F13" s="19">
        <f>COUNTIFS('Yıllık Çalışma Planı'!$B$8:$B$45,$A13,'Yıllık Çalışma Planı'!$N$8:$N$45,"P")</f>
        <v>0</v>
      </c>
      <c r="G13" s="19">
        <f>COUNTIFS('Yıllık Çalışma Planı'!$B$8:$B$45,$A13,'Yıllık Çalışma Planı'!$P$8:$P$45,"P")</f>
        <v>0</v>
      </c>
      <c r="H13" s="19">
        <f>COUNTIFS('Yıllık Çalışma Planı'!$B$8:$B$45,$A13,'Yıllık Çalışma Planı'!$R$8:$R$45,"P")</f>
        <v>0</v>
      </c>
      <c r="I13" s="19" t="e">
        <f>COUNTIFS('Yıllık Çalışma Planı'!$B$8:$B$45,$A13,'Yıllık Çalışma Planı'!$T$8:$T$43,"P")</f>
        <v>#VALUE!</v>
      </c>
      <c r="J13" s="19" t="e">
        <f>COUNTIFS('Yıllık Çalışma Planı'!$B$8:$B$45,$A13,'Yıllık Çalışma Planı'!$V$8:$V$43,"P")</f>
        <v>#VALUE!</v>
      </c>
      <c r="K13" s="19" t="e">
        <f>COUNTIFS('Yıllık Çalışma Planı'!$B$8:$B$45,$A13,'Yıllık Çalışma Planı'!$X$8:$X$43,"P")</f>
        <v>#VALUE!</v>
      </c>
      <c r="L13" s="19" t="e">
        <f>COUNTIFS('Yıllık Çalışma Planı'!$B$8:$B$45,$A13,'Yıllık Çalışma Planı'!$Z$8:$Z$43,"P")</f>
        <v>#VALUE!</v>
      </c>
      <c r="M13" s="19" t="e">
        <f>COUNTIFS('Yıllık Çalışma Planı'!$B$8:$B$45,$A13,'Yıllık Çalışma Planı'!$AB$8:$AB$43,"P")</f>
        <v>#VALUE!</v>
      </c>
      <c r="N13" s="10" t="e">
        <f t="shared" si="0"/>
        <v>#VALUE!</v>
      </c>
    </row>
    <row r="14" spans="1:14" ht="14.5" x14ac:dyDescent="0.35">
      <c r="A14" s="9" t="s">
        <v>114</v>
      </c>
      <c r="B14" s="19">
        <f>COUNTIFS('Yıllık Çalışma Planı'!$B$8:$B$45,$A14,'Yıllık Çalışma Planı'!$F$8:$F$45,"P")</f>
        <v>0</v>
      </c>
      <c r="C14" s="19">
        <f>COUNTIFS('Yıllık Çalışma Planı'!$B$8:$B$45,$A14,'Yıllık Çalışma Planı'!$H$8:$H$45,"P")</f>
        <v>0</v>
      </c>
      <c r="D14" s="19">
        <f>COUNTIFS('Yıllık Çalışma Planı'!$B$8:$B$45,$A14,'Yıllık Çalışma Planı'!$J$8:$J$45,"P")</f>
        <v>0</v>
      </c>
      <c r="E14" s="19">
        <f>COUNTIFS('Yıllık Çalışma Planı'!$B$8:$B$45,$A14,'Yıllık Çalışma Planı'!$L$8:$L$45,"P")</f>
        <v>0</v>
      </c>
      <c r="F14" s="19">
        <f>COUNTIFS('Yıllık Çalışma Planı'!$B$8:$B$45,$A14,'Yıllık Çalışma Planı'!$N$8:$N$45,"P")</f>
        <v>0</v>
      </c>
      <c r="G14" s="19">
        <f>COUNTIFS('Yıllık Çalışma Planı'!$B$8:$B$45,$A14,'Yıllık Çalışma Planı'!$P$8:$P$45,"P")</f>
        <v>0</v>
      </c>
      <c r="H14" s="19">
        <f>COUNTIFS('Yıllık Çalışma Planı'!$B$8:$B$45,$A14,'Yıllık Çalışma Planı'!$R$8:$R$45,"P")</f>
        <v>0</v>
      </c>
      <c r="I14" s="19" t="e">
        <f>COUNTIFS('Yıllık Çalışma Planı'!$B$8:$B$45,$A14,'Yıllık Çalışma Planı'!$T$8:$T$43,"P")</f>
        <v>#VALUE!</v>
      </c>
      <c r="J14" s="19" t="e">
        <f>COUNTIFS('Yıllık Çalışma Planı'!$B$8:$B$45,$A14,'Yıllık Çalışma Planı'!$V$8:$V$43,"P")</f>
        <v>#VALUE!</v>
      </c>
      <c r="K14" s="19" t="e">
        <f>COUNTIFS('Yıllık Çalışma Planı'!$B$8:$B$45,$A14,'Yıllık Çalışma Planı'!$X$8:$X$43,"P")</f>
        <v>#VALUE!</v>
      </c>
      <c r="L14" s="19" t="e">
        <f>COUNTIFS('Yıllık Çalışma Planı'!$B$8:$B$45,$A14,'Yıllık Çalışma Planı'!$Z$8:$Z$43,"P")</f>
        <v>#VALUE!</v>
      </c>
      <c r="M14" s="19" t="e">
        <f>COUNTIFS('Yıllık Çalışma Planı'!$B$8:$B$45,$A14,'Yıllık Çalışma Planı'!$AB$8:$AB$43,"P")</f>
        <v>#VALUE!</v>
      </c>
      <c r="N14" s="10" t="e">
        <f t="shared" si="0"/>
        <v>#VALUE!</v>
      </c>
    </row>
    <row r="15" spans="1:14" ht="14.5" x14ac:dyDescent="0.35">
      <c r="A15" s="9" t="s">
        <v>118</v>
      </c>
      <c r="B15" s="19">
        <f>COUNTIFS('Yıllık Çalışma Planı'!$B$8:$B$45,$A15,'Yıllık Çalışma Planı'!$F$8:$F$45,"P")</f>
        <v>0</v>
      </c>
      <c r="C15" s="19">
        <f>COUNTIFS('Yıllık Çalışma Planı'!$B$8:$B$45,$A15,'Yıllık Çalışma Planı'!$H$8:$H$45,"P")</f>
        <v>0</v>
      </c>
      <c r="D15" s="19">
        <f>COUNTIFS('Yıllık Çalışma Planı'!$B$8:$B$45,$A15,'Yıllık Çalışma Planı'!$J$8:$J$45,"P")</f>
        <v>0</v>
      </c>
      <c r="E15" s="19">
        <f>COUNTIFS('Yıllık Çalışma Planı'!$B$8:$B$45,$A15,'Yıllık Çalışma Planı'!$L$8:$L$45,"P")</f>
        <v>0</v>
      </c>
      <c r="F15" s="19">
        <f>COUNTIFS('Yıllık Çalışma Planı'!$B$8:$B$45,$A15,'Yıllık Çalışma Planı'!$N$8:$N$45,"P")</f>
        <v>0</v>
      </c>
      <c r="G15" s="19">
        <f>COUNTIFS('Yıllık Çalışma Planı'!$B$8:$B$45,$A15,'Yıllık Çalışma Planı'!$P$8:$P$45,"P")</f>
        <v>0</v>
      </c>
      <c r="H15" s="19">
        <f>COUNTIFS('Yıllık Çalışma Planı'!$B$8:$B$45,$A15,'Yıllık Çalışma Planı'!$R$8:$R$45,"P")</f>
        <v>0</v>
      </c>
      <c r="I15" s="19" t="e">
        <f>COUNTIFS('Yıllık Çalışma Planı'!$B$8:$B$45,$A15,'Yıllık Çalışma Planı'!$T$8:$T$43,"P")</f>
        <v>#VALUE!</v>
      </c>
      <c r="J15" s="19" t="e">
        <f>COUNTIFS('Yıllık Çalışma Planı'!$B$8:$B$45,$A15,'Yıllık Çalışma Planı'!$V$8:$V$43,"P")</f>
        <v>#VALUE!</v>
      </c>
      <c r="K15" s="19" t="e">
        <f>COUNTIFS('Yıllık Çalışma Planı'!$B$8:$B$45,$A15,'Yıllık Çalışma Planı'!$X$8:$X$43,"P")</f>
        <v>#VALUE!</v>
      </c>
      <c r="L15" s="19" t="e">
        <f>COUNTIFS('Yıllık Çalışma Planı'!$B$8:$B$45,$A15,'Yıllık Çalışma Planı'!$Z$8:$Z$43,"P")</f>
        <v>#VALUE!</v>
      </c>
      <c r="M15" s="19" t="e">
        <f>COUNTIFS('Yıllık Çalışma Planı'!$B$8:$B$45,$A15,'Yıllık Çalışma Planı'!$AB$8:$AB$43,"P")</f>
        <v>#VALUE!</v>
      </c>
      <c r="N15" s="10" t="e">
        <f t="shared" si="0"/>
        <v>#VALUE!</v>
      </c>
    </row>
    <row r="16" spans="1:14" ht="14.5" x14ac:dyDescent="0.35">
      <c r="A16" s="9" t="s">
        <v>123</v>
      </c>
      <c r="B16" s="19">
        <f>COUNTIFS('Yıllık Çalışma Planı'!$B$8:$B$45,$A16,'Yıllık Çalışma Planı'!$F$8:$F$45,"P")</f>
        <v>0</v>
      </c>
      <c r="C16" s="19">
        <f>COUNTIFS('Yıllık Çalışma Planı'!$B$8:$B$45,$A16,'Yıllık Çalışma Planı'!$H$8:$H$45,"P")</f>
        <v>0</v>
      </c>
      <c r="D16" s="19">
        <f>COUNTIFS('Yıllık Çalışma Planı'!$B$8:$B$45,$A16,'Yıllık Çalışma Planı'!$J$8:$J$45,"P")</f>
        <v>0</v>
      </c>
      <c r="E16" s="19">
        <f>COUNTIFS('Yıllık Çalışma Planı'!$B$8:$B$45,$A16,'Yıllık Çalışma Planı'!$L$8:$L$45,"P")</f>
        <v>0</v>
      </c>
      <c r="F16" s="19">
        <f>COUNTIFS('Yıllık Çalışma Planı'!$B$8:$B$45,$A16,'Yıllık Çalışma Planı'!$N$8:$N$45,"P")</f>
        <v>0</v>
      </c>
      <c r="G16" s="19">
        <f>COUNTIFS('Yıllık Çalışma Planı'!$B$8:$B$45,$A16,'Yıllık Çalışma Planı'!$P$8:$P$45,"P")</f>
        <v>0</v>
      </c>
      <c r="H16" s="19">
        <f>COUNTIFS('Yıllık Çalışma Planı'!$B$8:$B$45,$A16,'Yıllık Çalışma Planı'!$R$8:$R$45,"P")</f>
        <v>0</v>
      </c>
      <c r="I16" s="19" t="e">
        <f>COUNTIFS('Yıllık Çalışma Planı'!$B$8:$B$45,$A16,'Yıllık Çalışma Planı'!$T$8:$T$43,"P")</f>
        <v>#VALUE!</v>
      </c>
      <c r="J16" s="19" t="e">
        <f>COUNTIFS('Yıllık Çalışma Planı'!$B$8:$B$45,$A16,'Yıllık Çalışma Planı'!$V$8:$V$43,"P")</f>
        <v>#VALUE!</v>
      </c>
      <c r="K16" s="19" t="e">
        <f>COUNTIFS('Yıllık Çalışma Planı'!$B$8:$B$45,$A16,'Yıllık Çalışma Planı'!$X$8:$X$43,"P")</f>
        <v>#VALUE!</v>
      </c>
      <c r="L16" s="19" t="e">
        <f>COUNTIFS('Yıllık Çalışma Planı'!$B$8:$B$45,$A16,'Yıllık Çalışma Planı'!$Z$8:$Z$43,"P")</f>
        <v>#VALUE!</v>
      </c>
      <c r="M16" s="19" t="e">
        <f>COUNTIFS('Yıllık Çalışma Planı'!$B$8:$B$45,$A16,'Yıllık Çalışma Planı'!$AB$8:$AB$43,"P")</f>
        <v>#VALUE!</v>
      </c>
      <c r="N16" s="10" t="e">
        <f t="shared" si="0"/>
        <v>#VALUE!</v>
      </c>
    </row>
    <row r="17" spans="1:14" ht="14.5" x14ac:dyDescent="0.35">
      <c r="A17" s="9" t="s">
        <v>127</v>
      </c>
      <c r="B17" s="19">
        <f>COUNTIFS('Yıllık Çalışma Planı'!$B$8:$B$45,$A17,'Yıllık Çalışma Planı'!$F$8:$F$45,"P")</f>
        <v>0</v>
      </c>
      <c r="C17" s="19">
        <f>COUNTIFS('Yıllık Çalışma Planı'!$B$8:$B$45,$A17,'Yıllık Çalışma Planı'!$H$8:$H$45,"P")</f>
        <v>0</v>
      </c>
      <c r="D17" s="19">
        <f>COUNTIFS('Yıllık Çalışma Planı'!$B$8:$B$45,$A17,'Yıllık Çalışma Planı'!$J$8:$J$45,"P")</f>
        <v>0</v>
      </c>
      <c r="E17" s="19">
        <f>COUNTIFS('Yıllık Çalışma Planı'!$B$8:$B$45,$A17,'Yıllık Çalışma Planı'!$L$8:$L$45,"P")</f>
        <v>0</v>
      </c>
      <c r="F17" s="19">
        <f>COUNTIFS('Yıllık Çalışma Planı'!$B$8:$B$45,$A17,'Yıllık Çalışma Planı'!$N$8:$N$45,"P")</f>
        <v>0</v>
      </c>
      <c r="G17" s="19">
        <f>COUNTIFS('Yıllık Çalışma Planı'!$B$8:$B$45,$A17,'Yıllık Çalışma Planı'!$P$8:$P$45,"P")</f>
        <v>0</v>
      </c>
      <c r="H17" s="19">
        <f>COUNTIFS('Yıllık Çalışma Planı'!$B$8:$B$45,$A17,'Yıllık Çalışma Planı'!$R$8:$R$45,"P")</f>
        <v>0</v>
      </c>
      <c r="I17" s="19" t="e">
        <f>COUNTIFS('Yıllık Çalışma Planı'!$B$8:$B$45,$A17,'Yıllık Çalışma Planı'!$T$8:$T$43,"P")</f>
        <v>#VALUE!</v>
      </c>
      <c r="J17" s="19" t="e">
        <f>COUNTIFS('Yıllık Çalışma Planı'!$B$8:$B$45,$A17,'Yıllık Çalışma Planı'!$V$8:$V$43,"P")</f>
        <v>#VALUE!</v>
      </c>
      <c r="K17" s="19" t="e">
        <f>COUNTIFS('Yıllık Çalışma Planı'!$B$8:$B$45,$A17,'Yıllık Çalışma Planı'!$X$8:$X$43,"P")</f>
        <v>#VALUE!</v>
      </c>
      <c r="L17" s="19" t="e">
        <f>COUNTIFS('Yıllık Çalışma Planı'!$B$8:$B$45,$A17,'Yıllık Çalışma Planı'!$Z$8:$Z$43,"P")</f>
        <v>#VALUE!</v>
      </c>
      <c r="M17" s="19" t="e">
        <f>COUNTIFS('Yıllık Çalışma Planı'!$B$8:$B$45,$A17,'Yıllık Çalışma Planı'!$AB$8:$AB$43,"P")</f>
        <v>#VALUE!</v>
      </c>
      <c r="N17" s="10" t="e">
        <f t="shared" si="0"/>
        <v>#VALUE!</v>
      </c>
    </row>
    <row r="18" spans="1:14" ht="14.5" x14ac:dyDescent="0.35">
      <c r="A18" s="9" t="s">
        <v>140</v>
      </c>
      <c r="B18" s="19">
        <f>COUNTIFS('Yıllık Çalışma Planı'!$B$8:$B$45,$A18,'Yıllık Çalışma Planı'!$F$8:$F$45,"P")</f>
        <v>0</v>
      </c>
      <c r="C18" s="19">
        <f>COUNTIFS('Yıllık Çalışma Planı'!$B$8:$B$45,$A18,'Yıllık Çalışma Planı'!$H$8:$H$45,"P")</f>
        <v>0</v>
      </c>
      <c r="D18" s="19">
        <f>COUNTIFS('Yıllık Çalışma Planı'!$B$8:$B$45,$A18,'Yıllık Çalışma Planı'!$J$8:$J$45,"P")</f>
        <v>0</v>
      </c>
      <c r="E18" s="19">
        <f>COUNTIFS('Yıllık Çalışma Planı'!$B$8:$B$45,$A18,'Yıllık Çalışma Planı'!$L$8:$L$45,"P")</f>
        <v>0</v>
      </c>
      <c r="F18" s="19">
        <f>COUNTIFS('Yıllık Çalışma Planı'!$B$8:$B$45,$A18,'Yıllık Çalışma Planı'!$N$8:$N$45,"P")</f>
        <v>0</v>
      </c>
      <c r="G18" s="19">
        <f>COUNTIFS('Yıllık Çalışma Planı'!$B$8:$B$45,$A18,'Yıllık Çalışma Planı'!$P$8:$P$45,"P")</f>
        <v>0</v>
      </c>
      <c r="H18" s="19">
        <f>COUNTIFS('Yıllık Çalışma Planı'!$B$8:$B$45,$A18,'Yıllık Çalışma Planı'!$R$8:$R$45,"P")</f>
        <v>0</v>
      </c>
      <c r="I18" s="19" t="e">
        <f>COUNTIFS('Yıllık Çalışma Planı'!$B$8:$B$45,$A18,'Yıllık Çalışma Planı'!$T$8:$T$43,"P")</f>
        <v>#VALUE!</v>
      </c>
      <c r="J18" s="19" t="e">
        <f>COUNTIFS('Yıllık Çalışma Planı'!$B$8:$B$45,$A18,'Yıllık Çalışma Planı'!$V$8:$V$43,"P")</f>
        <v>#VALUE!</v>
      </c>
      <c r="K18" s="19" t="e">
        <f>COUNTIFS('Yıllık Çalışma Planı'!$B$8:$B$45,$A18,'Yıllık Çalışma Planı'!$X$8:$X$43,"P")</f>
        <v>#VALUE!</v>
      </c>
      <c r="L18" s="19" t="e">
        <f>COUNTIFS('Yıllık Çalışma Planı'!$B$8:$B$45,$A18,'Yıllık Çalışma Planı'!$Z$8:$Z$43,"P")</f>
        <v>#VALUE!</v>
      </c>
      <c r="M18" s="19" t="e">
        <f>COUNTIFS('Yıllık Çalışma Planı'!$B$8:$B$45,$A18,'Yıllık Çalışma Planı'!$AB$8:$AB$43,"P")</f>
        <v>#VALUE!</v>
      </c>
      <c r="N18" s="10" t="e">
        <f t="shared" si="0"/>
        <v>#VALUE!</v>
      </c>
    </row>
    <row r="19" spans="1:14" ht="14.5" x14ac:dyDescent="0.35">
      <c r="A19" s="9" t="s">
        <v>144</v>
      </c>
      <c r="B19" s="19">
        <f>COUNTIFS('Yıllık Çalışma Planı'!$B$8:$B$45,$A19,'Yıllık Çalışma Planı'!$F$8:$F$45,"P")</f>
        <v>0</v>
      </c>
      <c r="C19" s="19">
        <f>COUNTIFS('Yıllık Çalışma Planı'!$B$8:$B$45,$A19,'Yıllık Çalışma Planı'!$H$8:$H$45,"P")</f>
        <v>0</v>
      </c>
      <c r="D19" s="19">
        <f>COUNTIFS('Yıllık Çalışma Planı'!$B$8:$B$45,$A19,'Yıllık Çalışma Planı'!$J$8:$J$45,"P")</f>
        <v>0</v>
      </c>
      <c r="E19" s="19">
        <f>COUNTIFS('Yıllık Çalışma Planı'!$B$8:$B$45,$A19,'Yıllık Çalışma Planı'!$L$8:$L$45,"P")</f>
        <v>0</v>
      </c>
      <c r="F19" s="19">
        <f>COUNTIFS('Yıllık Çalışma Planı'!$B$8:$B$45,$A19,'Yıllık Çalışma Planı'!$N$8:$N$45,"P")</f>
        <v>0</v>
      </c>
      <c r="G19" s="19">
        <f>COUNTIFS('Yıllık Çalışma Planı'!$B$8:$B$45,$A19,'Yıllık Çalışma Planı'!$P$8:$P$45,"P")</f>
        <v>0</v>
      </c>
      <c r="H19" s="19">
        <f>COUNTIFS('Yıllık Çalışma Planı'!$B$8:$B$45,$A19,'Yıllık Çalışma Planı'!$R$8:$R$45,"P")</f>
        <v>0</v>
      </c>
      <c r="I19" s="19" t="e">
        <f>COUNTIFS('Yıllık Çalışma Planı'!$B$8:$B$45,$A19,'Yıllık Çalışma Planı'!$T$8:$T$43,"P")</f>
        <v>#VALUE!</v>
      </c>
      <c r="J19" s="19" t="e">
        <f>COUNTIFS('Yıllık Çalışma Planı'!$B$8:$B$45,$A19,'Yıllık Çalışma Planı'!$V$8:$V$43,"P")</f>
        <v>#VALUE!</v>
      </c>
      <c r="K19" s="19" t="e">
        <f>COUNTIFS('Yıllık Çalışma Planı'!$B$8:$B$45,$A19,'Yıllık Çalışma Planı'!$X$8:$X$43,"P")</f>
        <v>#VALUE!</v>
      </c>
      <c r="L19" s="19" t="e">
        <f>COUNTIFS('Yıllık Çalışma Planı'!$B$8:$B$45,$A19,'Yıllık Çalışma Planı'!$Z$8:$Z$43,"P")</f>
        <v>#VALUE!</v>
      </c>
      <c r="M19" s="19" t="e">
        <f>COUNTIFS('Yıllık Çalışma Planı'!$B$8:$B$45,$A19,'Yıllık Çalışma Planı'!$AB$8:$AB$43,"P")</f>
        <v>#VALUE!</v>
      </c>
      <c r="N19" s="10" t="e">
        <f t="shared" si="0"/>
        <v>#VALUE!</v>
      </c>
    </row>
    <row r="20" spans="1:14" ht="14.5" x14ac:dyDescent="0.35">
      <c r="A20" s="9" t="s">
        <v>148</v>
      </c>
      <c r="B20" s="19">
        <f>COUNTIFS('Yıllık Çalışma Planı'!$B$8:$B$45,$A20,'Yıllık Çalışma Planı'!$F$8:$F$45,"P")</f>
        <v>0</v>
      </c>
      <c r="C20" s="19">
        <f>COUNTIFS('Yıllık Çalışma Planı'!$B$8:$B$45,$A20,'Yıllık Çalışma Planı'!$H$8:$H$45,"P")</f>
        <v>0</v>
      </c>
      <c r="D20" s="19">
        <f>COUNTIFS('Yıllık Çalışma Planı'!$B$8:$B$45,$A20,'Yıllık Çalışma Planı'!$J$8:$J$45,"P")</f>
        <v>0</v>
      </c>
      <c r="E20" s="19">
        <f>COUNTIFS('Yıllık Çalışma Planı'!$B$8:$B$45,$A20,'Yıllık Çalışma Planı'!$L$8:$L$45,"P")</f>
        <v>0</v>
      </c>
      <c r="F20" s="19">
        <f>COUNTIFS('Yıllık Çalışma Planı'!$B$8:$B$45,$A20,'Yıllık Çalışma Planı'!$N$8:$N$45,"P")</f>
        <v>0</v>
      </c>
      <c r="G20" s="19">
        <f>COUNTIFS('Yıllık Çalışma Planı'!$B$8:$B$45,$A20,'Yıllık Çalışma Planı'!$P$8:$P$45,"P")</f>
        <v>0</v>
      </c>
      <c r="H20" s="19">
        <f>COUNTIFS('Yıllık Çalışma Planı'!$B$8:$B$45,$A20,'Yıllık Çalışma Planı'!$R$8:$R$45,"P")</f>
        <v>0</v>
      </c>
      <c r="I20" s="19" t="e">
        <f>COUNTIFS('Yıllık Çalışma Planı'!$B$8:$B$45,$A20,'Yıllık Çalışma Planı'!$T$8:$T$43,"P")</f>
        <v>#VALUE!</v>
      </c>
      <c r="J20" s="19" t="e">
        <f>COUNTIFS('Yıllık Çalışma Planı'!$B$8:$B$45,$A20,'Yıllık Çalışma Planı'!$V$8:$V$43,"P")</f>
        <v>#VALUE!</v>
      </c>
      <c r="K20" s="19" t="e">
        <f>COUNTIFS('Yıllık Çalışma Planı'!$B$8:$B$45,$A20,'Yıllık Çalışma Planı'!$X$8:$X$43,"P")</f>
        <v>#VALUE!</v>
      </c>
      <c r="L20" s="19" t="e">
        <f>COUNTIFS('Yıllık Çalışma Planı'!$B$8:$B$45,$A20,'Yıllık Çalışma Planı'!$Z$8:$Z$43,"P")</f>
        <v>#VALUE!</v>
      </c>
      <c r="M20" s="19" t="e">
        <f>COUNTIFS('Yıllık Çalışma Planı'!$B$8:$B$45,$A20,'Yıllık Çalışma Planı'!$AB$8:$AB$43,"P")</f>
        <v>#VALUE!</v>
      </c>
      <c r="N20" s="10" t="e">
        <f t="shared" si="0"/>
        <v>#VALUE!</v>
      </c>
    </row>
    <row r="21" spans="1:14" ht="14.5" x14ac:dyDescent="0.35">
      <c r="A21" s="9" t="s">
        <v>152</v>
      </c>
      <c r="B21" s="19">
        <f>COUNTIFS('Yıllık Çalışma Planı'!$B$8:$B$45,$A21,'Yıllık Çalışma Planı'!$F$8:$F$45,"P")</f>
        <v>0</v>
      </c>
      <c r="C21" s="19">
        <f>COUNTIFS('Yıllık Çalışma Planı'!$B$8:$B$45,$A21,'Yıllık Çalışma Planı'!$H$8:$H$45,"P")</f>
        <v>0</v>
      </c>
      <c r="D21" s="19">
        <f>COUNTIFS('Yıllık Çalışma Planı'!$B$8:$B$45,$A21,'Yıllık Çalışma Planı'!$J$8:$J$45,"P")</f>
        <v>0</v>
      </c>
      <c r="E21" s="19">
        <f>COUNTIFS('Yıllık Çalışma Planı'!$B$8:$B$45,$A21,'Yıllık Çalışma Planı'!$L$8:$L$45,"P")</f>
        <v>0</v>
      </c>
      <c r="F21" s="19">
        <f>COUNTIFS('Yıllık Çalışma Planı'!$B$8:$B$45,$A21,'Yıllık Çalışma Planı'!$N$8:$N$45,"P")</f>
        <v>0</v>
      </c>
      <c r="G21" s="19">
        <f>COUNTIFS('Yıllık Çalışma Planı'!$B$8:$B$45,$A21,'Yıllık Çalışma Planı'!$P$8:$P$45,"P")</f>
        <v>0</v>
      </c>
      <c r="H21" s="19">
        <f>COUNTIFS('Yıllık Çalışma Planı'!$B$8:$B$45,$A21,'Yıllık Çalışma Planı'!$R$8:$R$45,"P")</f>
        <v>0</v>
      </c>
      <c r="I21" s="19" t="e">
        <f>COUNTIFS('Yıllık Çalışma Planı'!$B$8:$B$45,$A21,'Yıllık Çalışma Planı'!$T$8:$T$43,"P")</f>
        <v>#VALUE!</v>
      </c>
      <c r="J21" s="19" t="e">
        <f>COUNTIFS('Yıllık Çalışma Planı'!$B$8:$B$45,$A21,'Yıllık Çalışma Planı'!$V$8:$V$43,"P")</f>
        <v>#VALUE!</v>
      </c>
      <c r="K21" s="19" t="e">
        <f>COUNTIFS('Yıllık Çalışma Planı'!$B$8:$B$45,$A21,'Yıllık Çalışma Planı'!$X$8:$X$43,"P")</f>
        <v>#VALUE!</v>
      </c>
      <c r="L21" s="19" t="e">
        <f>COUNTIFS('Yıllık Çalışma Planı'!$B$8:$B$45,$A21,'Yıllık Çalışma Planı'!$Z$8:$Z$43,"P")</f>
        <v>#VALUE!</v>
      </c>
      <c r="M21" s="19" t="e">
        <f>COUNTIFS('Yıllık Çalışma Planı'!$B$8:$B$45,$A21,'Yıllık Çalışma Planı'!$AB$8:$AB$43,"P")</f>
        <v>#VALUE!</v>
      </c>
      <c r="N21" s="10" t="e">
        <f t="shared" si="0"/>
        <v>#VALUE!</v>
      </c>
    </row>
    <row r="22" spans="1:14" ht="14.5" x14ac:dyDescent="0.35">
      <c r="A22" s="9" t="s">
        <v>157</v>
      </c>
      <c r="B22" s="19">
        <f>COUNTIFS('Yıllık Çalışma Planı'!$B$8:$B$45,$A22,'Yıllık Çalışma Planı'!$F$8:$F$45,"P")</f>
        <v>0</v>
      </c>
      <c r="C22" s="19">
        <f>COUNTIFS('Yıllık Çalışma Planı'!$B$8:$B$45,$A22,'Yıllık Çalışma Planı'!$H$8:$H$45,"P")</f>
        <v>0</v>
      </c>
      <c r="D22" s="19">
        <f>COUNTIFS('Yıllık Çalışma Planı'!$B$8:$B$45,$A22,'Yıllık Çalışma Planı'!$J$8:$J$45,"P")</f>
        <v>0</v>
      </c>
      <c r="E22" s="19">
        <f>COUNTIFS('Yıllık Çalışma Planı'!$B$8:$B$45,$A22,'Yıllık Çalışma Planı'!$L$8:$L$45,"P")</f>
        <v>0</v>
      </c>
      <c r="F22" s="19">
        <f>COUNTIFS('Yıllık Çalışma Planı'!$B$8:$B$45,$A22,'Yıllık Çalışma Planı'!$N$8:$N$45,"P")</f>
        <v>0</v>
      </c>
      <c r="G22" s="19">
        <f>COUNTIFS('Yıllık Çalışma Planı'!$B$8:$B$45,$A22,'Yıllık Çalışma Planı'!$P$8:$P$45,"P")</f>
        <v>0</v>
      </c>
      <c r="H22" s="19">
        <f>COUNTIFS('Yıllık Çalışma Planı'!$B$8:$B$45,$A22,'Yıllık Çalışma Planı'!$R$8:$R$45,"P")</f>
        <v>0</v>
      </c>
      <c r="I22" s="19" t="e">
        <f>COUNTIFS('Yıllık Çalışma Planı'!$B$8:$B$45,$A22,'Yıllık Çalışma Planı'!$T$8:$T$43,"P")</f>
        <v>#VALUE!</v>
      </c>
      <c r="J22" s="19" t="e">
        <f>COUNTIFS('Yıllık Çalışma Planı'!$B$8:$B$45,$A22,'Yıllık Çalışma Planı'!$V$8:$V$43,"P")</f>
        <v>#VALUE!</v>
      </c>
      <c r="K22" s="19" t="e">
        <f>COUNTIFS('Yıllık Çalışma Planı'!$B$8:$B$45,$A22,'Yıllık Çalışma Planı'!$X$8:$X$43,"P")</f>
        <v>#VALUE!</v>
      </c>
      <c r="L22" s="19" t="e">
        <f>COUNTIFS('Yıllık Çalışma Planı'!$B$8:$B$45,$A22,'Yıllık Çalışma Planı'!$Z$8:$Z$43,"P")</f>
        <v>#VALUE!</v>
      </c>
      <c r="M22" s="19" t="e">
        <f>COUNTIFS('Yıllık Çalışma Planı'!$B$8:$B$45,$A22,'Yıllık Çalışma Planı'!$AB$8:$AB$43,"P")</f>
        <v>#VALUE!</v>
      </c>
      <c r="N22" s="10" t="e">
        <f t="shared" si="0"/>
        <v>#VALUE!</v>
      </c>
    </row>
    <row r="23" spans="1:14" ht="14.5" x14ac:dyDescent="0.35">
      <c r="A23" s="9" t="s">
        <v>162</v>
      </c>
      <c r="B23" s="19">
        <f>COUNTIFS('Yıllık Çalışma Planı'!$B$8:$B$45,$A23,'Yıllık Çalışma Planı'!$F$8:$F$45,"P")</f>
        <v>0</v>
      </c>
      <c r="C23" s="19">
        <f>COUNTIFS('Yıllık Çalışma Planı'!$B$8:$B$45,$A23,'Yıllık Çalışma Planı'!$H$8:$H$45,"P")</f>
        <v>0</v>
      </c>
      <c r="D23" s="19">
        <f>COUNTIFS('Yıllık Çalışma Planı'!$B$8:$B$45,$A23,'Yıllık Çalışma Planı'!$J$8:$J$45,"P")</f>
        <v>0</v>
      </c>
      <c r="E23" s="19">
        <f>COUNTIFS('Yıllık Çalışma Planı'!$B$8:$B$45,$A23,'Yıllık Çalışma Planı'!$L$8:$L$45,"P")</f>
        <v>0</v>
      </c>
      <c r="F23" s="19">
        <f>COUNTIFS('Yıllık Çalışma Planı'!$B$8:$B$45,$A23,'Yıllık Çalışma Planı'!$N$8:$N$45,"P")</f>
        <v>0</v>
      </c>
      <c r="G23" s="19">
        <f>COUNTIFS('Yıllık Çalışma Planı'!$B$8:$B$45,$A23,'Yıllık Çalışma Planı'!$P$8:$P$45,"P")</f>
        <v>0</v>
      </c>
      <c r="H23" s="19">
        <f>COUNTIFS('Yıllık Çalışma Planı'!$B$8:$B$45,$A23,'Yıllık Çalışma Planı'!$R$8:$R$45,"P")</f>
        <v>0</v>
      </c>
      <c r="I23" s="19" t="e">
        <f>COUNTIFS('Yıllık Çalışma Planı'!$B$8:$B$45,$A23,'Yıllık Çalışma Planı'!$T$8:$T$43,"P")</f>
        <v>#VALUE!</v>
      </c>
      <c r="J23" s="19" t="e">
        <f>COUNTIFS('Yıllık Çalışma Planı'!$B$8:$B$45,$A23,'Yıllık Çalışma Planı'!$V$8:$V$43,"P")</f>
        <v>#VALUE!</v>
      </c>
      <c r="K23" s="19" t="e">
        <f>COUNTIFS('Yıllık Çalışma Planı'!$B$8:$B$45,$A23,'Yıllık Çalışma Planı'!$X$8:$X$43,"P")</f>
        <v>#VALUE!</v>
      </c>
      <c r="L23" s="19" t="e">
        <f>COUNTIFS('Yıllık Çalışma Planı'!$B$8:$B$45,$A23,'Yıllık Çalışma Planı'!$Z$8:$Z$43,"P")</f>
        <v>#VALUE!</v>
      </c>
      <c r="M23" s="19" t="e">
        <f>COUNTIFS('Yıllık Çalışma Planı'!$B$8:$B$45,$A23,'Yıllık Çalışma Planı'!$AB$8:$AB$43,"P")</f>
        <v>#VALUE!</v>
      </c>
      <c r="N23" s="10" t="e">
        <f t="shared" si="0"/>
        <v>#VALUE!</v>
      </c>
    </row>
    <row r="24" spans="1:14" ht="14.5" x14ac:dyDescent="0.35">
      <c r="A24" s="9" t="s">
        <v>167</v>
      </c>
      <c r="B24" s="19">
        <f>COUNTIFS('Yıllık Çalışma Planı'!$B$8:$B$45,$A24,'Yıllık Çalışma Planı'!$F$8:$F$45,"P")</f>
        <v>0</v>
      </c>
      <c r="C24" s="19">
        <f>COUNTIFS('Yıllık Çalışma Planı'!$B$8:$B$45,$A24,'Yıllık Çalışma Planı'!$H$8:$H$45,"P")</f>
        <v>0</v>
      </c>
      <c r="D24" s="19">
        <f>COUNTIFS('Yıllık Çalışma Planı'!$B$8:$B$45,$A24,'Yıllık Çalışma Planı'!$J$8:$J$45,"P")</f>
        <v>0</v>
      </c>
      <c r="E24" s="19">
        <f>COUNTIFS('Yıllık Çalışma Planı'!$B$8:$B$45,$A24,'Yıllık Çalışma Planı'!$L$8:$L$45,"P")</f>
        <v>0</v>
      </c>
      <c r="F24" s="19">
        <f>COUNTIFS('Yıllık Çalışma Planı'!$B$8:$B$45,$A24,'Yıllık Çalışma Planı'!$N$8:$N$45,"P")</f>
        <v>0</v>
      </c>
      <c r="G24" s="19">
        <f>COUNTIFS('Yıllık Çalışma Planı'!$B$8:$B$45,$A24,'Yıllık Çalışma Planı'!$P$8:$P$45,"P")</f>
        <v>0</v>
      </c>
      <c r="H24" s="19">
        <f>COUNTIFS('Yıllık Çalışma Planı'!$B$8:$B$45,$A24,'Yıllık Çalışma Planı'!$R$8:$R$45,"P")</f>
        <v>0</v>
      </c>
      <c r="I24" s="19" t="e">
        <f>COUNTIFS('Yıllık Çalışma Planı'!$B$8:$B$45,$A24,'Yıllık Çalışma Planı'!$T$8:$T$43,"P")</f>
        <v>#VALUE!</v>
      </c>
      <c r="J24" s="19" t="e">
        <f>COUNTIFS('Yıllık Çalışma Planı'!$B$8:$B$45,$A24,'Yıllık Çalışma Planı'!$V$8:$V$43,"P")</f>
        <v>#VALUE!</v>
      </c>
      <c r="K24" s="19" t="e">
        <f>COUNTIFS('Yıllık Çalışma Planı'!$B$8:$B$45,$A24,'Yıllık Çalışma Planı'!$X$8:$X$43,"P")</f>
        <v>#VALUE!</v>
      </c>
      <c r="L24" s="19" t="e">
        <f>COUNTIFS('Yıllık Çalışma Planı'!$B$8:$B$45,$A24,'Yıllık Çalışma Planı'!$Z$8:$Z$43,"P")</f>
        <v>#VALUE!</v>
      </c>
      <c r="M24" s="19" t="e">
        <f>COUNTIFS('Yıllık Çalışma Planı'!$B$8:$B$45,$A24,'Yıllık Çalışma Planı'!$AB$8:$AB$43,"P")</f>
        <v>#VALUE!</v>
      </c>
      <c r="N24" s="10" t="e">
        <f t="shared" si="0"/>
        <v>#VALUE!</v>
      </c>
    </row>
    <row r="25" spans="1:14" ht="14.5" x14ac:dyDescent="0.35">
      <c r="A25" s="9" t="s">
        <v>171</v>
      </c>
      <c r="B25" s="19">
        <f>COUNTIFS('Yıllık Çalışma Planı'!$B$8:$B$45,$A25,'Yıllık Çalışma Planı'!$F$8:$F$45,"P")</f>
        <v>0</v>
      </c>
      <c r="C25" s="19">
        <f>COUNTIFS('Yıllık Çalışma Planı'!$B$8:$B$45,$A25,'Yıllık Çalışma Planı'!$H$8:$H$45,"P")</f>
        <v>0</v>
      </c>
      <c r="D25" s="19">
        <f>COUNTIFS('Yıllık Çalışma Planı'!$B$8:$B$45,$A25,'Yıllık Çalışma Planı'!$J$8:$J$45,"P")</f>
        <v>0</v>
      </c>
      <c r="E25" s="19">
        <f>COUNTIFS('Yıllık Çalışma Planı'!$B$8:$B$45,$A25,'Yıllık Çalışma Planı'!$L$8:$L$45,"P")</f>
        <v>0</v>
      </c>
      <c r="F25" s="19">
        <f>COUNTIFS('Yıllık Çalışma Planı'!$B$8:$B$45,$A25,'Yıllık Çalışma Planı'!$N$8:$N$45,"P")</f>
        <v>0</v>
      </c>
      <c r="G25" s="19">
        <f>COUNTIFS('Yıllık Çalışma Planı'!$B$8:$B$45,$A25,'Yıllık Çalışma Planı'!$P$8:$P$45,"P")</f>
        <v>0</v>
      </c>
      <c r="H25" s="19">
        <f>COUNTIFS('Yıllık Çalışma Planı'!$B$8:$B$45,$A25,'Yıllık Çalışma Planı'!$R$8:$R$45,"P")</f>
        <v>0</v>
      </c>
      <c r="I25" s="19" t="e">
        <f>COUNTIFS('Yıllık Çalışma Planı'!$B$8:$B$45,$A25,'Yıllık Çalışma Planı'!$T$8:$T$43,"P")</f>
        <v>#VALUE!</v>
      </c>
      <c r="J25" s="19" t="e">
        <f>COUNTIFS('Yıllık Çalışma Planı'!$B$8:$B$45,$A25,'Yıllık Çalışma Planı'!$V$8:$V$43,"P")</f>
        <v>#VALUE!</v>
      </c>
      <c r="K25" s="19" t="e">
        <f>COUNTIFS('Yıllık Çalışma Planı'!$B$8:$B$45,$A25,'Yıllık Çalışma Planı'!$X$8:$X$43,"P")</f>
        <v>#VALUE!</v>
      </c>
      <c r="L25" s="19" t="e">
        <f>COUNTIFS('Yıllık Çalışma Planı'!$B$8:$B$45,$A25,'Yıllık Çalışma Planı'!$Z$8:$Z$43,"P")</f>
        <v>#VALUE!</v>
      </c>
      <c r="M25" s="19" t="e">
        <f>COUNTIFS('Yıllık Çalışma Planı'!$B$8:$B$45,$A25,'Yıllık Çalışma Planı'!$AB$8:$AB$43,"P")</f>
        <v>#VALUE!</v>
      </c>
      <c r="N25" s="10" t="e">
        <f t="shared" si="0"/>
        <v>#VALUE!</v>
      </c>
    </row>
    <row r="26" spans="1:14" ht="14" x14ac:dyDescent="0.25">
      <c r="A26" s="11" t="s">
        <v>179</v>
      </c>
      <c r="B26" s="12">
        <f t="shared" ref="B26:N26" si="1">SUM(B4:B25)</f>
        <v>0</v>
      </c>
      <c r="C26" s="12">
        <f t="shared" si="1"/>
        <v>0</v>
      </c>
      <c r="D26" s="12">
        <f t="shared" si="1"/>
        <v>0</v>
      </c>
      <c r="E26" s="12">
        <f t="shared" si="1"/>
        <v>0</v>
      </c>
      <c r="F26" s="12">
        <f t="shared" si="1"/>
        <v>0</v>
      </c>
      <c r="G26" s="12">
        <f t="shared" si="1"/>
        <v>0</v>
      </c>
      <c r="H26" s="12">
        <f t="shared" si="1"/>
        <v>0</v>
      </c>
      <c r="I26" s="12" t="e">
        <f t="shared" si="1"/>
        <v>#VALUE!</v>
      </c>
      <c r="J26" s="12" t="e">
        <f t="shared" si="1"/>
        <v>#VALUE!</v>
      </c>
      <c r="K26" s="12" t="e">
        <f t="shared" si="1"/>
        <v>#VALUE!</v>
      </c>
      <c r="L26" s="12" t="e">
        <f t="shared" si="1"/>
        <v>#VALUE!</v>
      </c>
      <c r="M26" s="12" t="e">
        <f t="shared" si="1"/>
        <v>#VALUE!</v>
      </c>
      <c r="N26" s="12" t="e">
        <f t="shared" si="1"/>
        <v>#VALUE!</v>
      </c>
    </row>
  </sheetData>
  <mergeCells count="1">
    <mergeCell ref="A1:N1"/>
  </mergeCells>
  <pageMargins left="0.2" right="0.2" top="0.35" bottom="0.5" header="0.511811023622047" footer="0.1"/>
  <pageSetup paperSize="9" fitToHeight="0" orientation="landscape" horizontalDpi="300" verticalDpi="300"/>
  <headerFooter>
    <oddFooter>&amp;L&amp;"Calibri,Regular"&amp;11İŞVEREN / İŞVEREN VEKİLİ_x005F_x000a_Ad Soyad / İmza&amp;C&amp;"Calibri,Regular"&amp;11İŞ GÜVENLİĞİ UZMANI_x005F_x000a_Ad Soyad / İmza&amp;R&amp;"Calibri,Regular"&amp;11İŞYERİ HEKİMİ_x005F_x000a_Ad Soyad / İmza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2"/>
  <sheetViews>
    <sheetView zoomScaleNormal="100" workbookViewId="0"/>
  </sheetViews>
  <sheetFormatPr defaultColWidth="8.6328125" defaultRowHeight="12.5" x14ac:dyDescent="0.25"/>
  <cols>
    <col min="1" max="1" width="22" customWidth="1"/>
    <col min="2" max="2" width="70" customWidth="1"/>
  </cols>
  <sheetData>
    <row r="1" spans="1:2" ht="14.5" x14ac:dyDescent="0.35">
      <c r="A1" s="13" t="s">
        <v>180</v>
      </c>
      <c r="B1" s="13" t="s">
        <v>181</v>
      </c>
    </row>
    <row r="2" spans="1:2" x14ac:dyDescent="0.25">
      <c r="A2" t="s">
        <v>27</v>
      </c>
      <c r="B2" t="s">
        <v>182</v>
      </c>
    </row>
    <row r="3" spans="1:2" x14ac:dyDescent="0.25">
      <c r="A3" t="s">
        <v>30</v>
      </c>
      <c r="B3" t="s">
        <v>183</v>
      </c>
    </row>
    <row r="4" spans="1:2" x14ac:dyDescent="0.25">
      <c r="A4" t="s">
        <v>184</v>
      </c>
      <c r="B4" t="s">
        <v>185</v>
      </c>
    </row>
    <row r="5" spans="1:2" x14ac:dyDescent="0.25">
      <c r="A5" t="s">
        <v>25</v>
      </c>
      <c r="B5" t="s">
        <v>186</v>
      </c>
    </row>
    <row r="6" spans="1:2" x14ac:dyDescent="0.25">
      <c r="A6" t="s">
        <v>187</v>
      </c>
      <c r="B6" t="s">
        <v>188</v>
      </c>
    </row>
    <row r="7" spans="1:2" x14ac:dyDescent="0.25">
      <c r="A7" t="s">
        <v>189</v>
      </c>
      <c r="B7" t="s">
        <v>190</v>
      </c>
    </row>
    <row r="8" spans="1:2" x14ac:dyDescent="0.25">
      <c r="A8" t="s">
        <v>191</v>
      </c>
      <c r="B8" t="s">
        <v>192</v>
      </c>
    </row>
    <row r="10" spans="1:2" ht="43.5" x14ac:dyDescent="0.35">
      <c r="A10" t="s">
        <v>193</v>
      </c>
      <c r="B10" s="9" t="s">
        <v>194</v>
      </c>
    </row>
    <row r="11" spans="1:2" ht="29" x14ac:dyDescent="0.35">
      <c r="A11" t="s">
        <v>195</v>
      </c>
      <c r="B11" s="9" t="s">
        <v>196</v>
      </c>
    </row>
    <row r="12" spans="1:2" ht="29" x14ac:dyDescent="0.35">
      <c r="A12" t="s">
        <v>197</v>
      </c>
      <c r="B12" s="9" t="s">
        <v>198</v>
      </c>
    </row>
  </sheetData>
  <pageMargins left="0.2" right="0.2" top="0.3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Yıllık Çalışma Planı</vt:lpstr>
      <vt:lpstr>Aylık Özet</vt:lpstr>
      <vt:lpstr>Listeler</vt:lpstr>
      <vt:lpstr>'Yıllık Çalışma Planı'!Yazdırma_Alanı</vt:lpstr>
      <vt:lpstr>'Aylık Özet'!Yazdırma_Başlıkları</vt:lpstr>
      <vt:lpstr>'Yıllık Çalışma Planı'!Yazdırma_Başlıkları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mehmet özdemir</cp:lastModifiedBy>
  <cp:revision>0</cp:revision>
  <cp:lastPrinted>2026-09-27T06:43:07Z</cp:lastPrinted>
  <dcterms:created xsi:type="dcterms:W3CDTF">2026-09-26T19:04:08Z</dcterms:created>
  <dcterms:modified xsi:type="dcterms:W3CDTF">2026-09-28T05:37:52Z</dcterms:modified>
  <dc:language>en-US</dc:language>
</cp:coreProperties>
</file>